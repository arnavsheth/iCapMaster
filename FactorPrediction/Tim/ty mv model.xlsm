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8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9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10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11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1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13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4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1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Ex16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17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8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Ex1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20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filterPrivacy="1" codeName="ThisWorkbook"/>
  <xr:revisionPtr revIDLastSave="0" documentId="8_{159A74DE-01A9-B94F-895C-5C9052358867}" xr6:coauthVersionLast="47" xr6:coauthVersionMax="47" xr10:uidLastSave="{00000000-0000-0000-0000-000000000000}"/>
  <bookViews>
    <workbookView xWindow="-45660" yWindow="-3120" windowWidth="40980" windowHeight="19800" tabRatio="903" activeTab="5" xr2:uid="{C90BD1DB-F2AB-4A79-AD87-007772C08A47}"/>
  </bookViews>
  <sheets>
    <sheet name="Master Summary" sheetId="70" r:id="rId1"/>
    <sheet name="ChartData" sheetId="75" state="hidden" r:id="rId2"/>
    <sheet name="CMA Summary" sheetId="55" r:id="rId3"/>
    <sheet name="Sheet1" sheetId="67" state="hidden" r:id="rId4"/>
    <sheet name="SelectedAssetClass.Data" sheetId="58" state="hidden" r:id="rId5"/>
    <sheet name="Cliffwater.RawData" sheetId="60" r:id="rId6"/>
    <sheet name="Envestnet.RawData" sheetId="61" r:id="rId7"/>
    <sheet name="JPMorgan.RawData" sheetId="62" r:id="rId8"/>
    <sheet name="Northern Trust.RawData" sheetId="65" state="hidden" r:id="rId9"/>
    <sheet name="T. Rowe.RawData" sheetId="64" state="hidden" r:id="rId10"/>
    <sheet name="CMA Features" sheetId="51" state="hidden" r:id="rId11"/>
  </sheets>
  <externalReferences>
    <externalReference r:id="rId12"/>
    <externalReference r:id="rId13"/>
  </externalReferences>
  <definedNames>
    <definedName name="_xlchart.v1.0" hidden="1">ChartData!$B$4:$C$14</definedName>
    <definedName name="_xlchart.v1.1" hidden="1">ChartData!$I$3</definedName>
    <definedName name="_xlchart.v1.10" hidden="1">ChartData!$M$4:$M$14</definedName>
    <definedName name="_xlchart.v1.11" hidden="1">ChartData!$B$4:$C$14</definedName>
    <definedName name="_xlchart.v1.12" hidden="1">ChartData!$G$3</definedName>
    <definedName name="_xlchart.v1.13" hidden="1">ChartData!$G$4:$G$14</definedName>
    <definedName name="_xlchart.v1.14" hidden="1">ChartData!$B$4:$C$14</definedName>
    <definedName name="_xlchart.v1.15" hidden="1">ChartData!$O$3</definedName>
    <definedName name="_xlchart.v1.16" hidden="1">ChartData!$O$4:$O$14</definedName>
    <definedName name="_xlchart.v1.17" hidden="1">ChartData!$B$4:$C$14</definedName>
    <definedName name="_xlchart.v1.18" hidden="1">ChartData!$R$3</definedName>
    <definedName name="_xlchart.v1.19" hidden="1">ChartData!$R$4:$R$14</definedName>
    <definedName name="_xlchart.v1.2" hidden="1">ChartData!$I$4:$I$14</definedName>
    <definedName name="_xlchart.v1.20" hidden="1">ChartData!$B$4:$C$14</definedName>
    <definedName name="_xlchart.v1.21" hidden="1">ChartData!$S$3</definedName>
    <definedName name="_xlchart.v1.22" hidden="1">ChartData!$S$4:$S$14</definedName>
    <definedName name="_xlchart.v1.23" hidden="1">ChartData!$B$4:$C$14</definedName>
    <definedName name="_xlchart.v1.24" hidden="1">ChartData!$U$3</definedName>
    <definedName name="_xlchart.v1.25" hidden="1">ChartData!$U$4:$U$14</definedName>
    <definedName name="_xlchart.v1.26" hidden="1">ChartData!$B$4:$C$14</definedName>
    <definedName name="_xlchart.v1.27" hidden="1">ChartData!$H$3</definedName>
    <definedName name="_xlchart.v1.28" hidden="1">ChartData!$H$4:$H$14</definedName>
    <definedName name="_xlchart.v1.29" hidden="1">ChartData!$B$4:$C$14</definedName>
    <definedName name="_xlchart.v1.3" hidden="1">ChartData!$B$4:$C$14</definedName>
    <definedName name="_xlchart.v1.30" hidden="1">ChartData!$T$3</definedName>
    <definedName name="_xlchart.v1.31" hidden="1">ChartData!$T$4:$T$14</definedName>
    <definedName name="_xlchart.v1.32" hidden="1">ChartData!$B$4:$C$14</definedName>
    <definedName name="_xlchart.v1.33" hidden="1">ChartData!$N$3</definedName>
    <definedName name="_xlchart.v1.34" hidden="1">ChartData!$N$4:$N$14</definedName>
    <definedName name="_xlchart.v1.35" hidden="1">ChartData!$B$4:$C$14</definedName>
    <definedName name="_xlchart.v1.36" hidden="1">ChartData!$P$3</definedName>
    <definedName name="_xlchart.v1.37" hidden="1">ChartData!$P$4:$P$14</definedName>
    <definedName name="_xlchart.v1.38" hidden="1">ChartData!$B$4:$C$14</definedName>
    <definedName name="_xlchart.v1.39" hidden="1">ChartData!$L$3</definedName>
    <definedName name="_xlchart.v1.4" hidden="1">ChartData!$F$4:$F$14</definedName>
    <definedName name="_xlchart.v1.40" hidden="1">ChartData!$L$4:$L$14</definedName>
    <definedName name="_xlchart.v1.41" hidden="1">ChartData!$B$4:$C$14</definedName>
    <definedName name="_xlchart.v1.42" hidden="1">ChartData!$V$3</definedName>
    <definedName name="_xlchart.v1.43" hidden="1">ChartData!$V$4:$V$14</definedName>
    <definedName name="_xlchart.v1.44" hidden="1">ChartData!$B$23:$C$33</definedName>
    <definedName name="_xlchart.v1.45" hidden="1">ChartData!$I$22</definedName>
    <definedName name="_xlchart.v1.46" hidden="1">ChartData!$I$23:$I$33</definedName>
    <definedName name="_xlchart.v1.47" hidden="1">ChartData!$B$23:$C$33</definedName>
    <definedName name="_xlchart.v1.48" hidden="1">ChartData!$H$22</definedName>
    <definedName name="_xlchart.v1.49" hidden="1">ChartData!$H$23:$H$33</definedName>
    <definedName name="_xlchart.v1.5" hidden="1">ChartData!$B$4:$C$14</definedName>
    <definedName name="_xlchart.v1.50" hidden="1">ChartData!$B$23:$C$33</definedName>
    <definedName name="_xlchart.v1.51" hidden="1">ChartData!$J$22</definedName>
    <definedName name="_xlchart.v1.52" hidden="1">ChartData!$J$23:$J$33</definedName>
    <definedName name="_xlchart.v1.53" hidden="1">ChartData!$B$23:$C$33</definedName>
    <definedName name="_xlchart.v1.54" hidden="1">ChartData!$G$22</definedName>
    <definedName name="_xlchart.v1.55" hidden="1">ChartData!$G$23:$G$33</definedName>
    <definedName name="_xlchart.v1.56" hidden="1">ChartData!$B$23:$C$33</definedName>
    <definedName name="_xlchart.v1.57" hidden="1">ChartData!$F$22</definedName>
    <definedName name="_xlchart.v1.58" hidden="1">ChartData!$F$23:$F$33</definedName>
    <definedName name="_xlchart.v1.6" hidden="1">ChartData!$J$3</definedName>
    <definedName name="_xlchart.v1.7" hidden="1">ChartData!$J$4:$J$14</definedName>
    <definedName name="_xlchart.v1.8" hidden="1">ChartData!$B$4:$C$14</definedName>
    <definedName name="_xlchart.v1.9" hidden="1">ChartData!$M$3</definedName>
    <definedName name="BBPTAutoColor_Changed" localSheetId="2" hidden="1">TRUE</definedName>
    <definedName name="BBPTAutoColor_ShadowWksName" localSheetId="2" hidden="1">"BBPTACShadowWks0001"</definedName>
    <definedName name="cases_range">OFFSET('[1]Single Country'!$L$21,,,MAX(COUNTA('[1]Single Country'!$K$21:$K$206),1))</definedName>
    <definedName name="cntry1_rng">OFFSET('[1]Country Comparison'!$C$37,,,MAX(COUNTA('[1]Country Comparison'!$C$37:$C$5000),1))</definedName>
    <definedName name="cntry2_rng">OFFSET('[1]Country Comparison'!$D$37,,,MAX(COUNTA('[1]Country Comparison'!$D$37:$D$5000),1))</definedName>
    <definedName name="cntry3_rng">OFFSET('[1]Country Comparison'!$E$37,,,MAX(COUNTA('[1]Country Comparison'!$E$37:$E$5000),1))</definedName>
    <definedName name="cntry4_rng">OFFSET('[1]Country Comparison'!$F$37,,,MAX(COUNTA('[1]Country Comparison'!$F$37:$F$5000),1))</definedName>
    <definedName name="cntry5_rng">OFFSET('[1]Country Comparison'!$G$37,,,MAX(COUNTA('[1]Country Comparison'!$G$37:$G$5000),1))</definedName>
    <definedName name="Date">OFFSET(#REF!,0,0,COUNTA(#REF!)-1,1)</definedName>
    <definedName name="days_rng">OFFSET('[1]Country Comparison'!$B$37,,,MAX('[1]Country Comparison'!$C$25,1))</definedName>
    <definedName name="death_rate_range">OFFSET('[1]Single Country'!$P$21,,,MAX(COUNTA('[1]Single Country'!$K$21:$K$210),1))</definedName>
    <definedName name="deaths_range">OFFSET('[1]Single Country'!$M$21,,,MAX(COUNTA('[1]Single Country'!$K$21:$K$206),1))</definedName>
    <definedName name="Index">OFFSET(#REF!,0,0,COUNTA(#REF!)-1,1)</definedName>
    <definedName name="Lookup_Sheets" localSheetId="5">#REF!</definedName>
    <definedName name="Lookup_Sheets" localSheetId="6">#REF!</definedName>
    <definedName name="Lookup_Sheets" localSheetId="7">#REF!</definedName>
    <definedName name="Lookup_Sheets" localSheetId="8">#REF!</definedName>
    <definedName name="Lookup_Sheets" localSheetId="9">#REF!</definedName>
    <definedName name="Lookup_Sheets">#REF!</definedName>
    <definedName name="Lookuppp">#REF!</definedName>
    <definedName name="new_case_names">OFFSET('[1]Country Change on Day'!$D$30,,,MAX(COUNTA('[1]Country Change on Day'!$C$30:$C$45),1))</definedName>
    <definedName name="new_case_rng">OFFSET('[1]Country Change on Day'!$C$30,,,MAX(COUNTA('[1]Country Change on Day'!$C$30:$C$54),1))</definedName>
    <definedName name="new_death_names">OFFSET('[1]Country Change on Day'!$H$30,,,MAX(COUNTA('[1]Country Change on Day'!$G$30:$G$54),1))</definedName>
    <definedName name="new_death_rng">OFFSET('[1]Country Change on Day'!$G$30,,,MAX(COUNTIF('[1]Country Change on Day'!$G$30:$G$54,"&lt;&gt;"),1))</definedName>
    <definedName name="new_recov_names">OFFSET('[1]Country Change on Day'!$L$30,,,MAX(COUNTA('[1]Country Change on Day'!$K$30:$K$54),1))</definedName>
    <definedName name="new_recov_rng">OFFSET('[1]Country Change on Day'!$K$30,,,MAX(COUNT('[1]Country Change on Day'!$K$30:$K$54),1))</definedName>
    <definedName name="Normalized_Dates">OFFSET([2]E.Data!$B$6,0,0,COUNTA([2]E.Data!$B:$B)-1,1)</definedName>
    <definedName name="Normalized_HSI_Index">OFFSET([2]E.Data!$E$6,0,0,COUNTA([2]E.Data!$E:$E)-1,1)</definedName>
    <definedName name="Normalized_MSCIEM">OFFSET([2]E.Data!$I$6,0,0,COUNTA([2]E.Data!$I:$I)-1,1)</definedName>
    <definedName name="Normalized_MSCIEurope">OFFSET([2]E.Data!$G$6,0,0,COUNTA([2]E.Data!$G:$G)-1,1)</definedName>
    <definedName name="Normalized_MSCILatAm">OFFSET([2]E.Data!$H$6,0,0,COUNTA([2]E.Data!$H:$H)-1,1)</definedName>
    <definedName name="Normalized_SPX">OFFSET([2]E.Data!$C$6,0,0,COUNTA([2]E.Data!$C:$C)-1,1)</definedName>
    <definedName name="Normalized_Topix">OFFSET([2]E.Data!$F$6,0,0,COUNTA([2]E.Data!$F:$F)-1,1)</definedName>
    <definedName name="recoveries_range">OFFSET('[1]Single Country'!$O$21,,,MAX(COUNTIF('[1]Single Country'!$K$21:$K$506,"&lt;&gt;"),1))</definedName>
    <definedName name="recovery_rate_range">OFFSET('[1]Single Country'!$Q$21,,,MAX(COUNTA('[1]Single Country'!$K$21:$K$210),1))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itr" localSheetId="2" hidden="1">2147483647</definedName>
    <definedName name="solver_lhs1" localSheetId="2" hidden="1">'CMA Summary'!$Q$52</definedName>
    <definedName name="solver_lhs10" localSheetId="2" hidden="1">'CMA Summary'!$Q$64</definedName>
    <definedName name="solver_lhs100" localSheetId="2" hidden="1">'CMA Summary'!$I$64</definedName>
    <definedName name="solver_lhs101" localSheetId="2" hidden="1">'CMA Summary'!$I$63</definedName>
    <definedName name="solver_lhs102" localSheetId="2" hidden="1">'CMA Summary'!$I$65</definedName>
    <definedName name="solver_lhs103" localSheetId="2" hidden="1">'CMA Summary'!$I$64</definedName>
    <definedName name="solver_lhs104" localSheetId="2" hidden="1">'CMA Summary'!$I$63</definedName>
    <definedName name="solver_lhs105" localSheetId="2" hidden="1">'CMA Summary'!$I$65</definedName>
    <definedName name="solver_lhs11" localSheetId="2" hidden="1">'CMA Summary'!$Q$65</definedName>
    <definedName name="solver_lhs12" localSheetId="2" hidden="1">'CMA Summary'!$I$63</definedName>
    <definedName name="solver_lhs13" localSheetId="2" hidden="1">'CMA Summary'!$I$63</definedName>
    <definedName name="solver_lhs14" localSheetId="2" hidden="1">'CMA Summary'!$I$51</definedName>
    <definedName name="solver_lhs15" localSheetId="2" hidden="1">'CMA Summary'!$I$63</definedName>
    <definedName name="solver_lhs16" localSheetId="2" hidden="1">'CMA Summary'!$I$63</definedName>
    <definedName name="solver_lhs17" localSheetId="2" hidden="1">'CMA Summary'!$I$51</definedName>
    <definedName name="solver_lhs18" localSheetId="2" hidden="1">'CMA Summary'!$I$63</definedName>
    <definedName name="solver_lhs19" localSheetId="2" hidden="1">'CMA Summary'!$I$51</definedName>
    <definedName name="solver_lhs2" localSheetId="2" hidden="1">'CMA Summary'!$Q$53</definedName>
    <definedName name="solver_lhs20" localSheetId="2" hidden="1">'CMA Summary'!$I$63</definedName>
    <definedName name="solver_lhs21" localSheetId="2" hidden="1">'CMA Summary'!$I$63</definedName>
    <definedName name="solver_lhs22" localSheetId="2" hidden="1">'CMA Summary'!$I$63</definedName>
    <definedName name="solver_lhs23" localSheetId="2" hidden="1">'CMA Summary'!$I$63</definedName>
    <definedName name="solver_lhs24" localSheetId="2" hidden="1">'CMA Summary'!$I$63</definedName>
    <definedName name="solver_lhs25" localSheetId="2" hidden="1">'CMA Summary'!$I$63</definedName>
    <definedName name="solver_lhs26" localSheetId="2" hidden="1">'CMA Summary'!$I$65</definedName>
    <definedName name="solver_lhs27" localSheetId="2" hidden="1">'CMA Summary'!$I$63</definedName>
    <definedName name="solver_lhs28" localSheetId="2" hidden="1">'CMA Summary'!$I$65</definedName>
    <definedName name="solver_lhs29" localSheetId="2" hidden="1">'CMA Summary'!$I$51</definedName>
    <definedName name="solver_lhs3" localSheetId="2" hidden="1">'CMA Summary'!$Q$56</definedName>
    <definedName name="solver_lhs30" localSheetId="2" hidden="1">'CMA Summary'!$I$65</definedName>
    <definedName name="solver_lhs31" localSheetId="2" hidden="1">'CMA Summary'!$I$65</definedName>
    <definedName name="solver_lhs32" localSheetId="2" hidden="1">'CMA Summary'!$I$65</definedName>
    <definedName name="solver_lhs33" localSheetId="2" hidden="1">'CMA Summary'!$I$65</definedName>
    <definedName name="solver_lhs34" localSheetId="2" hidden="1">'CMA Summary'!$I$65</definedName>
    <definedName name="solver_lhs35" localSheetId="2" hidden="1">'CMA Summary'!$M$51</definedName>
    <definedName name="solver_lhs36" localSheetId="2" hidden="1">'CMA Summary'!$M$63</definedName>
    <definedName name="solver_lhs37" localSheetId="2" hidden="1">'CMA Summary'!$Q$51</definedName>
    <definedName name="solver_lhs38" localSheetId="2" hidden="1">'CMA Summary'!$M$65</definedName>
    <definedName name="solver_lhs39" localSheetId="2" hidden="1">'CMA Summary'!$Q$51</definedName>
    <definedName name="solver_lhs4" localSheetId="2" hidden="1">'CMA Summary'!$Q$58</definedName>
    <definedName name="solver_lhs40" localSheetId="2" hidden="1">'CMA Summary'!$Q$65</definedName>
    <definedName name="solver_lhs41" localSheetId="2" hidden="1">'CMA Summary'!$Q$63</definedName>
    <definedName name="solver_lhs42" localSheetId="2" hidden="1">'CMA Summary'!$Q$63</definedName>
    <definedName name="solver_lhs43" localSheetId="2" hidden="1">'CMA Summary'!$Q$51</definedName>
    <definedName name="solver_lhs44" localSheetId="2" hidden="1">'CMA Summary'!$Q$65</definedName>
    <definedName name="solver_lhs45" localSheetId="2" hidden="1">'CMA Summary'!$Q$63</definedName>
    <definedName name="solver_lhs46" localSheetId="2" hidden="1">'CMA Summary'!$Q$65</definedName>
    <definedName name="solver_lhs47" localSheetId="2" hidden="1">'CMA Summary'!$I$63</definedName>
    <definedName name="solver_lhs48" localSheetId="2" hidden="1">'CMA Summary'!$Q$65</definedName>
    <definedName name="solver_lhs49" localSheetId="2" hidden="1">'CMA Summary'!$Q$63</definedName>
    <definedName name="solver_lhs5" localSheetId="2" hidden="1">'CMA Summary'!$Q$59</definedName>
    <definedName name="solver_lhs50" localSheetId="2" hidden="1">'CMA Summary'!$Q$51</definedName>
    <definedName name="solver_lhs51" localSheetId="2" hidden="1">'CMA Summary'!$M$65</definedName>
    <definedName name="solver_lhs52" localSheetId="2" hidden="1">'CMA Summary'!$M$63</definedName>
    <definedName name="solver_lhs53" localSheetId="2" hidden="1">'CMA Summary'!$M$51</definedName>
    <definedName name="solver_lhs54" localSheetId="2" hidden="1">'CMA Summary'!$I$65</definedName>
    <definedName name="solver_lhs55" localSheetId="2" hidden="1">'CMA Summary'!$I$65</definedName>
    <definedName name="solver_lhs56" localSheetId="2" hidden="1">'CMA Summary'!$I$65</definedName>
    <definedName name="solver_lhs57" localSheetId="2" hidden="1">'CMA Summary'!$I$65</definedName>
    <definedName name="solver_lhs58" localSheetId="2" hidden="1">'CMA Summary'!$I$65</definedName>
    <definedName name="solver_lhs59" localSheetId="2" hidden="1">'CMA Summary'!$I$65</definedName>
    <definedName name="solver_lhs6" localSheetId="2" hidden="1">'CMA Summary'!$Q$62</definedName>
    <definedName name="solver_lhs60" localSheetId="2" hidden="1">'CMA Summary'!$I$65</definedName>
    <definedName name="solver_lhs61" localSheetId="2" hidden="1">'CMA Summary'!$I$51</definedName>
    <definedName name="solver_lhs62" localSheetId="2" hidden="1">'CMA Summary'!$I$63</definedName>
    <definedName name="solver_lhs63" localSheetId="2" hidden="1">'CMA Summary'!$I$65</definedName>
    <definedName name="solver_lhs64" localSheetId="2" hidden="1">'CMA Summary'!$I$51</definedName>
    <definedName name="solver_lhs65" localSheetId="2" hidden="1">'CMA Summary'!$I$63</definedName>
    <definedName name="solver_lhs66" localSheetId="2" hidden="1">'CMA Summary'!$I$65</definedName>
    <definedName name="solver_lhs67" localSheetId="2" hidden="1">'CMA Summary'!$M$64</definedName>
    <definedName name="solver_lhs68" localSheetId="2" hidden="1">'CMA Summary'!$M$63</definedName>
    <definedName name="solver_lhs69" localSheetId="2" hidden="1">'CMA Summary'!$M$65</definedName>
    <definedName name="solver_lhs7" localSheetId="2" hidden="1">'CMA Summary'!$Q$64</definedName>
    <definedName name="solver_lhs70" localSheetId="2" hidden="1">'CMA Summary'!$Q$64</definedName>
    <definedName name="solver_lhs71" localSheetId="2" hidden="1">'CMA Summary'!$Q$63</definedName>
    <definedName name="solver_lhs72" localSheetId="2" hidden="1">'CMA Summary'!$Q$65</definedName>
    <definedName name="solver_lhs73" localSheetId="2" hidden="1">'CMA Summary'!$I$64</definedName>
    <definedName name="solver_lhs74" localSheetId="2" hidden="1">'CMA Summary'!$I$63</definedName>
    <definedName name="solver_lhs75" localSheetId="2" hidden="1">'CMA Summary'!$I$65</definedName>
    <definedName name="solver_lhs76" localSheetId="2" hidden="1">'CMA Summary'!$I$64</definedName>
    <definedName name="solver_lhs77" localSheetId="2" hidden="1">'CMA Summary'!$I$63</definedName>
    <definedName name="solver_lhs78" localSheetId="2" hidden="1">'CMA Summary'!$I$65</definedName>
    <definedName name="solver_lhs79" localSheetId="2" hidden="1">'CMA Summary'!$M$64</definedName>
    <definedName name="solver_lhs8" localSheetId="2" hidden="1">'CMA Summary'!$Q$65</definedName>
    <definedName name="solver_lhs80" localSheetId="2" hidden="1">'CMA Summary'!$M$63</definedName>
    <definedName name="solver_lhs81" localSheetId="2" hidden="1">'CMA Summary'!$M$65</definedName>
    <definedName name="solver_lhs82" localSheetId="2" hidden="1">'CMA Summary'!$I$64</definedName>
    <definedName name="solver_lhs83" localSheetId="2" hidden="1">'CMA Summary'!$I$63</definedName>
    <definedName name="solver_lhs84" localSheetId="2" hidden="1">'CMA Summary'!$I$65</definedName>
    <definedName name="solver_lhs85" localSheetId="2" hidden="1">'CMA Summary'!$M$64</definedName>
    <definedName name="solver_lhs86" localSheetId="2" hidden="1">'CMA Summary'!$M$63</definedName>
    <definedName name="solver_lhs87" localSheetId="2" hidden="1">'CMA Summary'!$M$65</definedName>
    <definedName name="solver_lhs88" localSheetId="2" hidden="1">'CMA Summary'!$Q$64</definedName>
    <definedName name="solver_lhs89" localSheetId="2" hidden="1">'CMA Summary'!$Q$63</definedName>
    <definedName name="solver_lhs9" localSheetId="2" hidden="1">'CMA Summary'!$Q$65</definedName>
    <definedName name="solver_lhs90" localSheetId="2" hidden="1">'CMA Summary'!$Q$65</definedName>
    <definedName name="solver_lhs91" localSheetId="2" hidden="1">'CMA Summary'!$Q$64</definedName>
    <definedName name="solver_lhs92" localSheetId="2" hidden="1">'CMA Summary'!$Q$63</definedName>
    <definedName name="solver_lhs93" localSheetId="2" hidden="1">'CMA Summary'!$Q$65</definedName>
    <definedName name="solver_lhs94" localSheetId="2" hidden="1">'CMA Summary'!$Q$64</definedName>
    <definedName name="solver_lhs95" localSheetId="2" hidden="1">'CMA Summary'!$Q$63</definedName>
    <definedName name="solver_lhs96" localSheetId="2" hidden="1">'CMA Summary'!$Q$65</definedName>
    <definedName name="solver_lhs97" localSheetId="2" hidden="1">'CMA Summary'!$I$64</definedName>
    <definedName name="solver_lhs98" localSheetId="2" hidden="1">'CMA Summary'!$I$63</definedName>
    <definedName name="solver_lhs99" localSheetId="2" hidden="1">'CMA Summary'!$I$65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um" localSheetId="2" hidden="1">0</definedName>
    <definedName name="solver_num" localSheetId="0" hidden="1">0</definedName>
    <definedName name="solver_nwt" localSheetId="2" hidden="1">1</definedName>
    <definedName name="solver_opt" localSheetId="2" hidden="1">'CMA Summary'!$AL$20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10" localSheetId="2" hidden="1">1</definedName>
    <definedName name="solver_rel100" localSheetId="2" hidden="1">3</definedName>
    <definedName name="solver_rel101" localSheetId="2" hidden="1">1</definedName>
    <definedName name="solver_rel102" localSheetId="2" hidden="1">2</definedName>
    <definedName name="solver_rel103" localSheetId="2" hidden="1">3</definedName>
    <definedName name="solver_rel104" localSheetId="2" hidden="1">1</definedName>
    <definedName name="solver_rel105" localSheetId="2" hidden="1">2</definedName>
    <definedName name="solver_rel11" localSheetId="2" hidden="1">2</definedName>
    <definedName name="solver_rel12" localSheetId="2" hidden="1">1</definedName>
    <definedName name="solver_rel13" localSheetId="2" hidden="1">1</definedName>
    <definedName name="solver_rel14" localSheetId="2" hidden="1">3</definedName>
    <definedName name="solver_rel15" localSheetId="2" hidden="1">1</definedName>
    <definedName name="solver_rel16" localSheetId="2" hidden="1">1</definedName>
    <definedName name="solver_rel17" localSheetId="2" hidden="1">3</definedName>
    <definedName name="solver_rel18" localSheetId="2" hidden="1">1</definedName>
    <definedName name="solver_rel19" localSheetId="2" hidden="1">3</definedName>
    <definedName name="solver_rel2" localSheetId="2" hidden="1">1</definedName>
    <definedName name="solver_rel20" localSheetId="2" hidden="1">1</definedName>
    <definedName name="solver_rel21" localSheetId="2" hidden="1">1</definedName>
    <definedName name="solver_rel22" localSheetId="2" hidden="1">1</definedName>
    <definedName name="solver_rel23" localSheetId="2" hidden="1">1</definedName>
    <definedName name="solver_rel24" localSheetId="2" hidden="1">1</definedName>
    <definedName name="solver_rel25" localSheetId="2" hidden="1">1</definedName>
    <definedName name="solver_rel26" localSheetId="2" hidden="1">2</definedName>
    <definedName name="solver_rel27" localSheetId="2" hidden="1">1</definedName>
    <definedName name="solver_rel28" localSheetId="2" hidden="1">2</definedName>
    <definedName name="solver_rel29" localSheetId="2" hidden="1">3</definedName>
    <definedName name="solver_rel3" localSheetId="2" hidden="1">2</definedName>
    <definedName name="solver_rel30" localSheetId="2" hidden="1">2</definedName>
    <definedName name="solver_rel31" localSheetId="2" hidden="1">2</definedName>
    <definedName name="solver_rel32" localSheetId="2" hidden="1">2</definedName>
    <definedName name="solver_rel33" localSheetId="2" hidden="1">2</definedName>
    <definedName name="solver_rel34" localSheetId="2" hidden="1">2</definedName>
    <definedName name="solver_rel35" localSheetId="2" hidden="1">3</definedName>
    <definedName name="solver_rel36" localSheetId="2" hidden="1">1</definedName>
    <definedName name="solver_rel37" localSheetId="2" hidden="1">3</definedName>
    <definedName name="solver_rel38" localSheetId="2" hidden="1">2</definedName>
    <definedName name="solver_rel39" localSheetId="2" hidden="1">3</definedName>
    <definedName name="solver_rel4" localSheetId="2" hidden="1">1</definedName>
    <definedName name="solver_rel40" localSheetId="2" hidden="1">2</definedName>
    <definedName name="solver_rel41" localSheetId="2" hidden="1">1</definedName>
    <definedName name="solver_rel42" localSheetId="2" hidden="1">1</definedName>
    <definedName name="solver_rel43" localSheetId="2" hidden="1">3</definedName>
    <definedName name="solver_rel44" localSheetId="2" hidden="1">2</definedName>
    <definedName name="solver_rel45" localSheetId="2" hidden="1">1</definedName>
    <definedName name="solver_rel46" localSheetId="2" hidden="1">2</definedName>
    <definedName name="solver_rel47" localSheetId="2" hidden="1">1</definedName>
    <definedName name="solver_rel48" localSheetId="2" hidden="1">2</definedName>
    <definedName name="solver_rel49" localSheetId="2" hidden="1">1</definedName>
    <definedName name="solver_rel5" localSheetId="2" hidden="1">1</definedName>
    <definedName name="solver_rel50" localSheetId="2" hidden="1">3</definedName>
    <definedName name="solver_rel51" localSheetId="2" hidden="1">2</definedName>
    <definedName name="solver_rel52" localSheetId="2" hidden="1">1</definedName>
    <definedName name="solver_rel53" localSheetId="2" hidden="1">3</definedName>
    <definedName name="solver_rel54" localSheetId="2" hidden="1">2</definedName>
    <definedName name="solver_rel55" localSheetId="2" hidden="1">2</definedName>
    <definedName name="solver_rel56" localSheetId="2" hidden="1">2</definedName>
    <definedName name="solver_rel57" localSheetId="2" hidden="1">2</definedName>
    <definedName name="solver_rel58" localSheetId="2" hidden="1">2</definedName>
    <definedName name="solver_rel59" localSheetId="2" hidden="1">2</definedName>
    <definedName name="solver_rel6" localSheetId="2" hidden="1">3</definedName>
    <definedName name="solver_rel60" localSheetId="2" hidden="1">2</definedName>
    <definedName name="solver_rel61" localSheetId="2" hidden="1">3</definedName>
    <definedName name="solver_rel62" localSheetId="2" hidden="1">1</definedName>
    <definedName name="solver_rel63" localSheetId="2" hidden="1">2</definedName>
    <definedName name="solver_rel64" localSheetId="2" hidden="1">3</definedName>
    <definedName name="solver_rel65" localSheetId="2" hidden="1">1</definedName>
    <definedName name="solver_rel66" localSheetId="2" hidden="1">2</definedName>
    <definedName name="solver_rel67" localSheetId="2" hidden="1">3</definedName>
    <definedName name="solver_rel68" localSheetId="2" hidden="1">1</definedName>
    <definedName name="solver_rel69" localSheetId="2" hidden="1">2</definedName>
    <definedName name="solver_rel7" localSheetId="2" hidden="1">1</definedName>
    <definedName name="solver_rel70" localSheetId="2" hidden="1">3</definedName>
    <definedName name="solver_rel71" localSheetId="2" hidden="1">1</definedName>
    <definedName name="solver_rel72" localSheetId="2" hidden="1">2</definedName>
    <definedName name="solver_rel73" localSheetId="2" hidden="1">3</definedName>
    <definedName name="solver_rel74" localSheetId="2" hidden="1">1</definedName>
    <definedName name="solver_rel75" localSheetId="2" hidden="1">2</definedName>
    <definedName name="solver_rel76" localSheetId="2" hidden="1">3</definedName>
    <definedName name="solver_rel77" localSheetId="2" hidden="1">1</definedName>
    <definedName name="solver_rel78" localSheetId="2" hidden="1">2</definedName>
    <definedName name="solver_rel79" localSheetId="2" hidden="1">3</definedName>
    <definedName name="solver_rel8" localSheetId="2" hidden="1">2</definedName>
    <definedName name="solver_rel80" localSheetId="2" hidden="1">1</definedName>
    <definedName name="solver_rel81" localSheetId="2" hidden="1">2</definedName>
    <definedName name="solver_rel82" localSheetId="2" hidden="1">3</definedName>
    <definedName name="solver_rel83" localSheetId="2" hidden="1">1</definedName>
    <definedName name="solver_rel84" localSheetId="2" hidden="1">2</definedName>
    <definedName name="solver_rel85" localSheetId="2" hidden="1">3</definedName>
    <definedName name="solver_rel86" localSheetId="2" hidden="1">1</definedName>
    <definedName name="solver_rel87" localSheetId="2" hidden="1">2</definedName>
    <definedName name="solver_rel88" localSheetId="2" hidden="1">3</definedName>
    <definedName name="solver_rel89" localSheetId="2" hidden="1">1</definedName>
    <definedName name="solver_rel9" localSheetId="2" hidden="1">2</definedName>
    <definedName name="solver_rel90" localSheetId="2" hidden="1">2</definedName>
    <definedName name="solver_rel91" localSheetId="2" hidden="1">3</definedName>
    <definedName name="solver_rel92" localSheetId="2" hidden="1">1</definedName>
    <definedName name="solver_rel93" localSheetId="2" hidden="1">2</definedName>
    <definedName name="solver_rel94" localSheetId="2" hidden="1">3</definedName>
    <definedName name="solver_rel95" localSheetId="2" hidden="1">1</definedName>
    <definedName name="solver_rel96" localSheetId="2" hidden="1">2</definedName>
    <definedName name="solver_rel97" localSheetId="2" hidden="1">3</definedName>
    <definedName name="solver_rel98" localSheetId="2" hidden="1">1</definedName>
    <definedName name="solver_rel99" localSheetId="2" hidden="1">2</definedName>
    <definedName name="solver_rhs1" localSheetId="2" hidden="1">0.12</definedName>
    <definedName name="solver_rhs10" localSheetId="2" hidden="1">0.3</definedName>
    <definedName name="solver_rhs100" localSheetId="2" hidden="1">0.5</definedName>
    <definedName name="solver_rhs101" localSheetId="2" hidden="1">0.25</definedName>
    <definedName name="solver_rhs102" localSheetId="2" hidden="1">1</definedName>
    <definedName name="solver_rhs103" localSheetId="2" hidden="1">0.5</definedName>
    <definedName name="solver_rhs104" localSheetId="2" hidden="1">0.25</definedName>
    <definedName name="solver_rhs105" localSheetId="2" hidden="1">1</definedName>
    <definedName name="solver_rhs11" localSheetId="2" hidden="1">1</definedName>
    <definedName name="solver_rhs12" localSheetId="2" hidden="1">0.25</definedName>
    <definedName name="solver_rhs13" localSheetId="2" hidden="1">0.25</definedName>
    <definedName name="solver_rhs14" localSheetId="2" hidden="1">0.5</definedName>
    <definedName name="solver_rhs15" localSheetId="2" hidden="1">0.25</definedName>
    <definedName name="solver_rhs16" localSheetId="2" hidden="1">0.25</definedName>
    <definedName name="solver_rhs17" localSheetId="2" hidden="1">0.5</definedName>
    <definedName name="solver_rhs18" localSheetId="2" hidden="1">0.25</definedName>
    <definedName name="solver_rhs19" localSheetId="2" hidden="1">0.5</definedName>
    <definedName name="solver_rhs2" localSheetId="2" hidden="1">0</definedName>
    <definedName name="solver_rhs20" localSheetId="2" hidden="1">0.25</definedName>
    <definedName name="solver_rhs21" localSheetId="2" hidden="1">0.25</definedName>
    <definedName name="solver_rhs22" localSheetId="2" hidden="1">0.25</definedName>
    <definedName name="solver_rhs23" localSheetId="2" hidden="1">0.25</definedName>
    <definedName name="solver_rhs24" localSheetId="2" hidden="1">0.25</definedName>
    <definedName name="solver_rhs25" localSheetId="2" hidden="1">0.25</definedName>
    <definedName name="solver_rhs26" localSheetId="2" hidden="1">1</definedName>
    <definedName name="solver_rhs27" localSheetId="2" hidden="1">0.25</definedName>
    <definedName name="solver_rhs28" localSheetId="2" hidden="1">1</definedName>
    <definedName name="solver_rhs29" localSheetId="2" hidden="1">0.5</definedName>
    <definedName name="solver_rhs3" localSheetId="2" hidden="1">0</definedName>
    <definedName name="solver_rhs30" localSheetId="2" hidden="1">1</definedName>
    <definedName name="solver_rhs31" localSheetId="2" hidden="1">1</definedName>
    <definedName name="solver_rhs32" localSheetId="2" hidden="1">1</definedName>
    <definedName name="solver_rhs33" localSheetId="2" hidden="1">1</definedName>
    <definedName name="solver_rhs34" localSheetId="2" hidden="1">1</definedName>
    <definedName name="solver_rhs35" localSheetId="2" hidden="1">0.5</definedName>
    <definedName name="solver_rhs36" localSheetId="2" hidden="1">0.25</definedName>
    <definedName name="solver_rhs37" localSheetId="2" hidden="1">0.5</definedName>
    <definedName name="solver_rhs38" localSheetId="2" hidden="1">1</definedName>
    <definedName name="solver_rhs39" localSheetId="2" hidden="1">0.5</definedName>
    <definedName name="solver_rhs4" localSheetId="2" hidden="1">0.06</definedName>
    <definedName name="solver_rhs40" localSheetId="2" hidden="1">1</definedName>
    <definedName name="solver_rhs41" localSheetId="2" hidden="1">0.25</definedName>
    <definedName name="solver_rhs42" localSheetId="2" hidden="1">0.25</definedName>
    <definedName name="solver_rhs43" localSheetId="2" hidden="1">0.5</definedName>
    <definedName name="solver_rhs44" localSheetId="2" hidden="1">1</definedName>
    <definedName name="solver_rhs45" localSheetId="2" hidden="1">0.25</definedName>
    <definedName name="solver_rhs46" localSheetId="2" hidden="1">1</definedName>
    <definedName name="solver_rhs47" localSheetId="2" hidden="1">0.25</definedName>
    <definedName name="solver_rhs48" localSheetId="2" hidden="1">1</definedName>
    <definedName name="solver_rhs49" localSheetId="2" hidden="1">0.25</definedName>
    <definedName name="solver_rhs5" localSheetId="2" hidden="1">0.06</definedName>
    <definedName name="solver_rhs50" localSheetId="2" hidden="1">0.5</definedName>
    <definedName name="solver_rhs51" localSheetId="2" hidden="1">1</definedName>
    <definedName name="solver_rhs52" localSheetId="2" hidden="1">0.25</definedName>
    <definedName name="solver_rhs53" localSheetId="2" hidden="1">0.5</definedName>
    <definedName name="solver_rhs54" localSheetId="2" hidden="1">1</definedName>
    <definedName name="solver_rhs55" localSheetId="2" hidden="1">1</definedName>
    <definedName name="solver_rhs56" localSheetId="2" hidden="1">1</definedName>
    <definedName name="solver_rhs57" localSheetId="2" hidden="1">1</definedName>
    <definedName name="solver_rhs58" localSheetId="2" hidden="1">1</definedName>
    <definedName name="solver_rhs59" localSheetId="2" hidden="1">1</definedName>
    <definedName name="solver_rhs6" localSheetId="2" hidden="1">0.3</definedName>
    <definedName name="solver_rhs60" localSheetId="2" hidden="1">1</definedName>
    <definedName name="solver_rhs61" localSheetId="2" hidden="1">0.5</definedName>
    <definedName name="solver_rhs62" localSheetId="2" hidden="1">0.25</definedName>
    <definedName name="solver_rhs63" localSheetId="2" hidden="1">1</definedName>
    <definedName name="solver_rhs64" localSheetId="2" hidden="1">0.5</definedName>
    <definedName name="solver_rhs65" localSheetId="2" hidden="1">0.25</definedName>
    <definedName name="solver_rhs66" localSheetId="2" hidden="1">1</definedName>
    <definedName name="solver_rhs67" localSheetId="2" hidden="1">0.5</definedName>
    <definedName name="solver_rhs68" localSheetId="2" hidden="1">0.25</definedName>
    <definedName name="solver_rhs69" localSheetId="2" hidden="1">1</definedName>
    <definedName name="solver_rhs7" localSheetId="2" hidden="1">0.3</definedName>
    <definedName name="solver_rhs70" localSheetId="2" hidden="1">0.5</definedName>
    <definedName name="solver_rhs71" localSheetId="2" hidden="1">0.25</definedName>
    <definedName name="solver_rhs72" localSheetId="2" hidden="1">1</definedName>
    <definedName name="solver_rhs73" localSheetId="2" hidden="1">0.5</definedName>
    <definedName name="solver_rhs74" localSheetId="2" hidden="1">0.25</definedName>
    <definedName name="solver_rhs75" localSheetId="2" hidden="1">1</definedName>
    <definedName name="solver_rhs76" localSheetId="2" hidden="1">0.5</definedName>
    <definedName name="solver_rhs77" localSheetId="2" hidden="1">0.25</definedName>
    <definedName name="solver_rhs78" localSheetId="2" hidden="1">1</definedName>
    <definedName name="solver_rhs79" localSheetId="2" hidden="1">0.5</definedName>
    <definedName name="solver_rhs8" localSheetId="2" hidden="1">1</definedName>
    <definedName name="solver_rhs80" localSheetId="2" hidden="1">0.25</definedName>
    <definedName name="solver_rhs81" localSheetId="2" hidden="1">1</definedName>
    <definedName name="solver_rhs82" localSheetId="2" hidden="1">0.5</definedName>
    <definedName name="solver_rhs83" localSheetId="2" hidden="1">0.25</definedName>
    <definedName name="solver_rhs84" localSheetId="2" hidden="1">1</definedName>
    <definedName name="solver_rhs85" localSheetId="2" hidden="1">0.5</definedName>
    <definedName name="solver_rhs86" localSheetId="2" hidden="1">0.25</definedName>
    <definedName name="solver_rhs87" localSheetId="2" hidden="1">1</definedName>
    <definedName name="solver_rhs88" localSheetId="2" hidden="1">0.5</definedName>
    <definedName name="solver_rhs89" localSheetId="2" hidden="1">0.25</definedName>
    <definedName name="solver_rhs9" localSheetId="2" hidden="1">1</definedName>
    <definedName name="solver_rhs90" localSheetId="2" hidden="1">1</definedName>
    <definedName name="solver_rhs91" localSheetId="2" hidden="1">0.5</definedName>
    <definedName name="solver_rhs92" localSheetId="2" hidden="1">0.25</definedName>
    <definedName name="solver_rhs93" localSheetId="2" hidden="1">1</definedName>
    <definedName name="solver_rhs94" localSheetId="2" hidden="1">0.5</definedName>
    <definedName name="solver_rhs95" localSheetId="2" hidden="1">0.25</definedName>
    <definedName name="solver_rhs96" localSheetId="2" hidden="1">1</definedName>
    <definedName name="solver_rhs97" localSheetId="2" hidden="1">0.5</definedName>
    <definedName name="solver_rhs98" localSheetId="2" hidden="1">0.25</definedName>
    <definedName name="solver_rhs99" localSheetId="2" hidden="1">1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typ" localSheetId="0" hidden="1">1</definedName>
    <definedName name="solver_val" localSheetId="2" hidden="1">0</definedName>
    <definedName name="solver_val" localSheetId="0" hidden="1">0</definedName>
    <definedName name="solver_ver" localSheetId="2" hidden="1">2</definedName>
    <definedName name="solver_ver" localSheetId="0" hidden="1">3</definedName>
    <definedName name="spread_range">OFFSET('[1]Single Country'!$R$21,,,MAX(COUNTA('[1]Single Country'!$R$21:$R$392),1))</definedName>
    <definedName name="state_spread_range">OFFSET('[1]Single US State'!$S$22,,,MAX(COUNTA('[1]Single US State'!$S$22:$S$222),1))</definedName>
    <definedName name="state_tickers">OFFSET(#REF!,,,COUNTA(#REF!)-1,4)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47" i="60" l="1"/>
  <c r="AU48" i="60" s="1"/>
  <c r="AU49" i="60" s="1"/>
  <c r="AU50" i="60" s="1"/>
  <c r="AU51" i="60" s="1"/>
  <c r="AU52" i="60" s="1"/>
  <c r="AU53" i="60" s="1"/>
  <c r="AU54" i="60" s="1"/>
  <c r="AU55" i="60" s="1"/>
  <c r="AU56" i="60" s="1"/>
  <c r="AU57" i="60" s="1"/>
  <c r="AU58" i="60" s="1"/>
  <c r="AU59" i="60" s="1"/>
  <c r="AU60" i="60" s="1"/>
  <c r="AU61" i="60" s="1"/>
  <c r="AU62" i="60" s="1"/>
  <c r="AU63" i="60" s="1"/>
  <c r="AU64" i="60" s="1"/>
  <c r="AU65" i="60" s="1"/>
  <c r="AU66" i="60" s="1"/>
  <c r="AU67" i="60" s="1"/>
  <c r="AU68" i="60" s="1"/>
  <c r="AU69" i="60" s="1"/>
  <c r="AU70" i="60" s="1"/>
  <c r="AU71" i="60" s="1"/>
  <c r="AU72" i="60" s="1"/>
  <c r="AU73" i="60" s="1"/>
  <c r="AU74" i="60" s="1"/>
  <c r="AU75" i="60" s="1"/>
  <c r="AU76" i="60" s="1"/>
  <c r="AU77" i="60" s="1"/>
  <c r="AU78" i="60" s="1"/>
  <c r="AU79" i="60" s="1"/>
  <c r="AU80" i="60" s="1"/>
  <c r="AU46" i="60"/>
  <c r="AU45" i="60"/>
  <c r="AT80" i="60"/>
  <c r="AT79" i="60"/>
  <c r="AT78" i="60"/>
  <c r="AT77" i="60"/>
  <c r="AT76" i="60"/>
  <c r="AT75" i="60"/>
  <c r="AT74" i="60"/>
  <c r="AT73" i="60"/>
  <c r="AT72" i="60"/>
  <c r="AT71" i="60"/>
  <c r="AT70" i="60"/>
  <c r="AT69" i="60"/>
  <c r="AT68" i="60"/>
  <c r="AT67" i="60"/>
  <c r="AT66" i="60"/>
  <c r="AT65" i="60"/>
  <c r="AT64" i="60"/>
  <c r="AT63" i="60"/>
  <c r="AT62" i="60"/>
  <c r="AT61" i="60"/>
  <c r="AT60" i="60"/>
  <c r="AT59" i="60"/>
  <c r="AT58" i="60"/>
  <c r="AT57" i="60"/>
  <c r="AT56" i="60"/>
  <c r="AT55" i="60"/>
  <c r="AT54" i="60"/>
  <c r="AT53" i="60"/>
  <c r="AT52" i="60"/>
  <c r="AT51" i="60"/>
  <c r="AT50" i="60"/>
  <c r="AT49" i="60"/>
  <c r="AT48" i="60"/>
  <c r="AT47" i="60"/>
  <c r="AT46" i="60"/>
  <c r="AT45" i="60"/>
  <c r="AS80" i="60"/>
  <c r="AR80" i="60"/>
  <c r="AQ80" i="60"/>
  <c r="AP80" i="60"/>
  <c r="AO80" i="60"/>
  <c r="AN80" i="60"/>
  <c r="AM80" i="60"/>
  <c r="AL80" i="60"/>
  <c r="AK80" i="60"/>
  <c r="AJ80" i="60"/>
  <c r="AI80" i="60"/>
  <c r="AH80" i="60"/>
  <c r="AG80" i="60"/>
  <c r="AF80" i="60"/>
  <c r="AE80" i="60"/>
  <c r="AD80" i="60"/>
  <c r="AC80" i="60"/>
  <c r="AB80" i="60"/>
  <c r="AA80" i="60"/>
  <c r="Z80" i="60"/>
  <c r="Y80" i="60"/>
  <c r="X80" i="60"/>
  <c r="W80" i="60"/>
  <c r="V80" i="60"/>
  <c r="U80" i="60"/>
  <c r="T80" i="60"/>
  <c r="S80" i="60"/>
  <c r="R80" i="60"/>
  <c r="Q80" i="60"/>
  <c r="P80" i="60"/>
  <c r="O80" i="60"/>
  <c r="N80" i="60"/>
  <c r="M80" i="60"/>
  <c r="L80" i="60"/>
  <c r="K80" i="60"/>
  <c r="J80" i="60"/>
  <c r="AS79" i="60"/>
  <c r="AR79" i="60"/>
  <c r="AQ79" i="60"/>
  <c r="AP79" i="60"/>
  <c r="AO79" i="60"/>
  <c r="AN79" i="60"/>
  <c r="AM79" i="60"/>
  <c r="AL79" i="60"/>
  <c r="AK79" i="60"/>
  <c r="AJ79" i="60"/>
  <c r="AI79" i="60"/>
  <c r="AH79" i="60"/>
  <c r="AG79" i="60"/>
  <c r="AF79" i="60"/>
  <c r="AE79" i="60"/>
  <c r="AD79" i="60"/>
  <c r="AC79" i="60"/>
  <c r="AB79" i="60"/>
  <c r="AA79" i="60"/>
  <c r="Z79" i="60"/>
  <c r="Y79" i="60"/>
  <c r="X79" i="60"/>
  <c r="W79" i="60"/>
  <c r="V79" i="60"/>
  <c r="U79" i="60"/>
  <c r="T79" i="60"/>
  <c r="S79" i="60"/>
  <c r="R79" i="60"/>
  <c r="Q79" i="60"/>
  <c r="P79" i="60"/>
  <c r="O79" i="60"/>
  <c r="N79" i="60"/>
  <c r="M79" i="60"/>
  <c r="L79" i="60"/>
  <c r="K79" i="60"/>
  <c r="J79" i="60"/>
  <c r="AS78" i="60"/>
  <c r="AR78" i="60"/>
  <c r="AQ78" i="60"/>
  <c r="AP78" i="60"/>
  <c r="AO78" i="60"/>
  <c r="AN78" i="60"/>
  <c r="AM78" i="60"/>
  <c r="AL78" i="60"/>
  <c r="AK78" i="60"/>
  <c r="AJ78" i="60"/>
  <c r="AI78" i="60"/>
  <c r="AH78" i="60"/>
  <c r="AG78" i="60"/>
  <c r="AF78" i="60"/>
  <c r="AE78" i="60"/>
  <c r="AD78" i="60"/>
  <c r="AC78" i="60"/>
  <c r="AB78" i="60"/>
  <c r="AA78" i="60"/>
  <c r="Z78" i="60"/>
  <c r="Y78" i="60"/>
  <c r="X78" i="60"/>
  <c r="W78" i="60"/>
  <c r="V78" i="60"/>
  <c r="U78" i="60"/>
  <c r="T78" i="60"/>
  <c r="S78" i="60"/>
  <c r="R78" i="60"/>
  <c r="Q78" i="60"/>
  <c r="P78" i="60"/>
  <c r="O78" i="60"/>
  <c r="N78" i="60"/>
  <c r="M78" i="60"/>
  <c r="L78" i="60"/>
  <c r="K78" i="60"/>
  <c r="J78" i="60"/>
  <c r="AS77" i="60"/>
  <c r="AR77" i="60"/>
  <c r="AQ77" i="60"/>
  <c r="AP77" i="60"/>
  <c r="AO77" i="60"/>
  <c r="AN77" i="60"/>
  <c r="AM77" i="60"/>
  <c r="AL77" i="60"/>
  <c r="AK77" i="60"/>
  <c r="AJ77" i="60"/>
  <c r="AI77" i="60"/>
  <c r="AH77" i="60"/>
  <c r="AG77" i="60"/>
  <c r="AF77" i="60"/>
  <c r="AE77" i="60"/>
  <c r="AD77" i="60"/>
  <c r="AC77" i="60"/>
  <c r="AB77" i="60"/>
  <c r="AA77" i="60"/>
  <c r="Z77" i="60"/>
  <c r="Y77" i="60"/>
  <c r="X77" i="60"/>
  <c r="W77" i="60"/>
  <c r="V77" i="60"/>
  <c r="U77" i="60"/>
  <c r="T77" i="60"/>
  <c r="S77" i="60"/>
  <c r="R77" i="60"/>
  <c r="Q77" i="60"/>
  <c r="P77" i="60"/>
  <c r="O77" i="60"/>
  <c r="N77" i="60"/>
  <c r="M77" i="60"/>
  <c r="L77" i="60"/>
  <c r="K77" i="60"/>
  <c r="J77" i="60"/>
  <c r="AS76" i="60"/>
  <c r="AR76" i="60"/>
  <c r="AQ76" i="60"/>
  <c r="AP76" i="60"/>
  <c r="AO76" i="60"/>
  <c r="AN76" i="60"/>
  <c r="AM76" i="60"/>
  <c r="AL76" i="60"/>
  <c r="AK76" i="60"/>
  <c r="AJ76" i="60"/>
  <c r="AI76" i="60"/>
  <c r="AH76" i="60"/>
  <c r="AG76" i="60"/>
  <c r="AF76" i="60"/>
  <c r="AE76" i="60"/>
  <c r="AD76" i="60"/>
  <c r="AC76" i="60"/>
  <c r="AB76" i="60"/>
  <c r="AA76" i="60"/>
  <c r="Z76" i="60"/>
  <c r="Y76" i="60"/>
  <c r="X76" i="60"/>
  <c r="W76" i="60"/>
  <c r="V76" i="60"/>
  <c r="U76" i="60"/>
  <c r="T76" i="60"/>
  <c r="S76" i="60"/>
  <c r="R76" i="60"/>
  <c r="Q76" i="60"/>
  <c r="P76" i="60"/>
  <c r="O76" i="60"/>
  <c r="N76" i="60"/>
  <c r="M76" i="60"/>
  <c r="L76" i="60"/>
  <c r="K76" i="60"/>
  <c r="J76" i="60"/>
  <c r="AS75" i="60"/>
  <c r="AR75" i="60"/>
  <c r="AQ75" i="60"/>
  <c r="AP75" i="60"/>
  <c r="AO75" i="60"/>
  <c r="AN75" i="60"/>
  <c r="AM75" i="60"/>
  <c r="AL75" i="60"/>
  <c r="AK75" i="60"/>
  <c r="AJ75" i="60"/>
  <c r="AI75" i="60"/>
  <c r="AH75" i="60"/>
  <c r="AG75" i="60"/>
  <c r="AF75" i="60"/>
  <c r="AE75" i="60"/>
  <c r="AD75" i="60"/>
  <c r="AC75" i="60"/>
  <c r="AB75" i="60"/>
  <c r="AA75" i="60"/>
  <c r="Z75" i="60"/>
  <c r="Y75" i="60"/>
  <c r="X75" i="60"/>
  <c r="W75" i="60"/>
  <c r="V75" i="60"/>
  <c r="U75" i="60"/>
  <c r="T75" i="60"/>
  <c r="S75" i="60"/>
  <c r="R75" i="60"/>
  <c r="Q75" i="60"/>
  <c r="P75" i="60"/>
  <c r="O75" i="60"/>
  <c r="N75" i="60"/>
  <c r="M75" i="60"/>
  <c r="L75" i="60"/>
  <c r="K75" i="60"/>
  <c r="J75" i="60"/>
  <c r="AS74" i="60"/>
  <c r="AR74" i="60"/>
  <c r="AQ74" i="60"/>
  <c r="AP74" i="60"/>
  <c r="AO74" i="60"/>
  <c r="AN74" i="60"/>
  <c r="AM74" i="60"/>
  <c r="AL74" i="60"/>
  <c r="AK74" i="60"/>
  <c r="AJ74" i="60"/>
  <c r="AI74" i="60"/>
  <c r="AH74" i="60"/>
  <c r="AG74" i="60"/>
  <c r="AF74" i="60"/>
  <c r="AE74" i="60"/>
  <c r="AD74" i="60"/>
  <c r="AC74" i="60"/>
  <c r="AB74" i="60"/>
  <c r="AA74" i="60"/>
  <c r="Z74" i="60"/>
  <c r="Y74" i="60"/>
  <c r="X74" i="60"/>
  <c r="W74" i="60"/>
  <c r="V74" i="60"/>
  <c r="U74" i="60"/>
  <c r="T74" i="60"/>
  <c r="S74" i="60"/>
  <c r="R74" i="60"/>
  <c r="Q74" i="60"/>
  <c r="P74" i="60"/>
  <c r="O74" i="60"/>
  <c r="N74" i="60"/>
  <c r="M74" i="60"/>
  <c r="L74" i="60"/>
  <c r="K74" i="60"/>
  <c r="J74" i="60"/>
  <c r="AS73" i="60"/>
  <c r="AR73" i="60"/>
  <c r="AQ73" i="60"/>
  <c r="AP73" i="60"/>
  <c r="AO73" i="60"/>
  <c r="AN73" i="60"/>
  <c r="AM73" i="60"/>
  <c r="AL73" i="60"/>
  <c r="AK73" i="60"/>
  <c r="AJ73" i="60"/>
  <c r="AI73" i="60"/>
  <c r="AH73" i="60"/>
  <c r="AG73" i="60"/>
  <c r="AF73" i="60"/>
  <c r="AE73" i="60"/>
  <c r="AD73" i="60"/>
  <c r="AC73" i="60"/>
  <c r="AB73" i="60"/>
  <c r="AA73" i="60"/>
  <c r="Z73" i="60"/>
  <c r="Y73" i="60"/>
  <c r="X73" i="60"/>
  <c r="W73" i="60"/>
  <c r="V73" i="60"/>
  <c r="U73" i="60"/>
  <c r="T73" i="60"/>
  <c r="S73" i="60"/>
  <c r="R73" i="60"/>
  <c r="Q73" i="60"/>
  <c r="P73" i="60"/>
  <c r="O73" i="60"/>
  <c r="N73" i="60"/>
  <c r="M73" i="60"/>
  <c r="L73" i="60"/>
  <c r="K73" i="60"/>
  <c r="J73" i="60"/>
  <c r="AS72" i="60"/>
  <c r="AR72" i="60"/>
  <c r="AQ72" i="60"/>
  <c r="AP72" i="60"/>
  <c r="AO72" i="60"/>
  <c r="AN72" i="60"/>
  <c r="AM72" i="60"/>
  <c r="AL72" i="60"/>
  <c r="AK72" i="60"/>
  <c r="AJ72" i="60"/>
  <c r="AI72" i="60"/>
  <c r="AH72" i="60"/>
  <c r="AG72" i="60"/>
  <c r="AF72" i="60"/>
  <c r="AE72" i="60"/>
  <c r="AD72" i="60"/>
  <c r="AC72" i="60"/>
  <c r="AB72" i="60"/>
  <c r="AA72" i="60"/>
  <c r="Z72" i="60"/>
  <c r="Y72" i="60"/>
  <c r="X72" i="60"/>
  <c r="W72" i="60"/>
  <c r="V72" i="60"/>
  <c r="U72" i="60"/>
  <c r="T72" i="60"/>
  <c r="S72" i="60"/>
  <c r="R72" i="60"/>
  <c r="Q72" i="60"/>
  <c r="P72" i="60"/>
  <c r="O72" i="60"/>
  <c r="N72" i="60"/>
  <c r="M72" i="60"/>
  <c r="L72" i="60"/>
  <c r="K72" i="60"/>
  <c r="J72" i="60"/>
  <c r="AS71" i="60"/>
  <c r="AR71" i="60"/>
  <c r="AQ71" i="60"/>
  <c r="AP71" i="60"/>
  <c r="AO71" i="60"/>
  <c r="AN71" i="60"/>
  <c r="AM71" i="60"/>
  <c r="AL71" i="60"/>
  <c r="AK71" i="60"/>
  <c r="AJ71" i="60"/>
  <c r="AI71" i="60"/>
  <c r="AH71" i="60"/>
  <c r="AG71" i="60"/>
  <c r="AF71" i="60"/>
  <c r="AE71" i="60"/>
  <c r="AD71" i="60"/>
  <c r="AC71" i="60"/>
  <c r="AB71" i="60"/>
  <c r="AA71" i="60"/>
  <c r="Z71" i="60"/>
  <c r="Y71" i="60"/>
  <c r="X71" i="60"/>
  <c r="W71" i="60"/>
  <c r="V71" i="60"/>
  <c r="U71" i="60"/>
  <c r="T71" i="60"/>
  <c r="S71" i="60"/>
  <c r="R71" i="60"/>
  <c r="Q71" i="60"/>
  <c r="P71" i="60"/>
  <c r="O71" i="60"/>
  <c r="N71" i="60"/>
  <c r="M71" i="60"/>
  <c r="L71" i="60"/>
  <c r="K71" i="60"/>
  <c r="J71" i="60"/>
  <c r="AS70" i="60"/>
  <c r="AR70" i="60"/>
  <c r="AQ70" i="60"/>
  <c r="AP70" i="60"/>
  <c r="AO70" i="60"/>
  <c r="AN70" i="60"/>
  <c r="AM70" i="60"/>
  <c r="AL70" i="60"/>
  <c r="AK70" i="60"/>
  <c r="AJ70" i="60"/>
  <c r="AI70" i="60"/>
  <c r="AH70" i="60"/>
  <c r="AG70" i="60"/>
  <c r="AF70" i="60"/>
  <c r="AE70" i="60"/>
  <c r="AD70" i="60"/>
  <c r="AC70" i="60"/>
  <c r="AB70" i="60"/>
  <c r="AA70" i="60"/>
  <c r="Z70" i="60"/>
  <c r="Y70" i="60"/>
  <c r="X70" i="60"/>
  <c r="W70" i="60"/>
  <c r="V70" i="60"/>
  <c r="U70" i="60"/>
  <c r="T70" i="60"/>
  <c r="S70" i="60"/>
  <c r="R70" i="60"/>
  <c r="Q70" i="60"/>
  <c r="P70" i="60"/>
  <c r="O70" i="60"/>
  <c r="N70" i="60"/>
  <c r="M70" i="60"/>
  <c r="L70" i="60"/>
  <c r="K70" i="60"/>
  <c r="J70" i="60"/>
  <c r="AS69" i="60"/>
  <c r="AR69" i="60"/>
  <c r="AQ69" i="60"/>
  <c r="AP69" i="60"/>
  <c r="AO69" i="60"/>
  <c r="AN69" i="60"/>
  <c r="AM69" i="60"/>
  <c r="AL69" i="60"/>
  <c r="AK69" i="60"/>
  <c r="AJ69" i="60"/>
  <c r="AI69" i="60"/>
  <c r="AH69" i="60"/>
  <c r="AG69" i="60"/>
  <c r="AF69" i="60"/>
  <c r="AE69" i="60"/>
  <c r="AD69" i="60"/>
  <c r="AC69" i="60"/>
  <c r="AB69" i="60"/>
  <c r="AA69" i="60"/>
  <c r="Z69" i="60"/>
  <c r="Y69" i="60"/>
  <c r="X69" i="60"/>
  <c r="W69" i="60"/>
  <c r="V69" i="60"/>
  <c r="U69" i="60"/>
  <c r="T69" i="60"/>
  <c r="S69" i="60"/>
  <c r="R69" i="60"/>
  <c r="Q69" i="60"/>
  <c r="P69" i="60"/>
  <c r="O69" i="60"/>
  <c r="N69" i="60"/>
  <c r="M69" i="60"/>
  <c r="L69" i="60"/>
  <c r="K69" i="60"/>
  <c r="J69" i="60"/>
  <c r="AS68" i="60"/>
  <c r="AR68" i="60"/>
  <c r="AQ68" i="60"/>
  <c r="AP68" i="60"/>
  <c r="AO68" i="60"/>
  <c r="AN68" i="60"/>
  <c r="AM68" i="60"/>
  <c r="AL68" i="60"/>
  <c r="AK68" i="60"/>
  <c r="AJ68" i="60"/>
  <c r="AI68" i="60"/>
  <c r="AH68" i="60"/>
  <c r="AG68" i="60"/>
  <c r="AF68" i="60"/>
  <c r="AE68" i="60"/>
  <c r="AD68" i="60"/>
  <c r="AC68" i="60"/>
  <c r="AB68" i="60"/>
  <c r="AA68" i="60"/>
  <c r="Z68" i="60"/>
  <c r="Y68" i="60"/>
  <c r="X68" i="60"/>
  <c r="W68" i="60"/>
  <c r="V68" i="60"/>
  <c r="U68" i="60"/>
  <c r="T68" i="60"/>
  <c r="S68" i="60"/>
  <c r="R68" i="60"/>
  <c r="Q68" i="60"/>
  <c r="P68" i="60"/>
  <c r="O68" i="60"/>
  <c r="N68" i="60"/>
  <c r="M68" i="60"/>
  <c r="L68" i="60"/>
  <c r="K68" i="60"/>
  <c r="J68" i="60"/>
  <c r="AS67" i="60"/>
  <c r="AR67" i="60"/>
  <c r="AQ67" i="60"/>
  <c r="AP67" i="60"/>
  <c r="AO67" i="60"/>
  <c r="AN67" i="60"/>
  <c r="AM67" i="60"/>
  <c r="AL67" i="60"/>
  <c r="AK67" i="60"/>
  <c r="AJ67" i="60"/>
  <c r="AI67" i="60"/>
  <c r="AH67" i="60"/>
  <c r="AG67" i="60"/>
  <c r="AF67" i="60"/>
  <c r="AE67" i="60"/>
  <c r="AD67" i="60"/>
  <c r="AC67" i="60"/>
  <c r="AB67" i="60"/>
  <c r="AA67" i="60"/>
  <c r="Z67" i="60"/>
  <c r="Y67" i="60"/>
  <c r="X67" i="60"/>
  <c r="W67" i="60"/>
  <c r="V67" i="60"/>
  <c r="U67" i="60"/>
  <c r="T67" i="60"/>
  <c r="S67" i="60"/>
  <c r="R67" i="60"/>
  <c r="Q67" i="60"/>
  <c r="P67" i="60"/>
  <c r="O67" i="60"/>
  <c r="N67" i="60"/>
  <c r="M67" i="60"/>
  <c r="L67" i="60"/>
  <c r="K67" i="60"/>
  <c r="J67" i="60"/>
  <c r="AS66" i="60"/>
  <c r="AR66" i="60"/>
  <c r="AQ66" i="60"/>
  <c r="AP66" i="60"/>
  <c r="AO66" i="60"/>
  <c r="AN66" i="60"/>
  <c r="AM66" i="60"/>
  <c r="AL66" i="60"/>
  <c r="AK66" i="60"/>
  <c r="AJ66" i="60"/>
  <c r="AI66" i="60"/>
  <c r="AH66" i="60"/>
  <c r="AG66" i="60"/>
  <c r="AF66" i="60"/>
  <c r="AE66" i="60"/>
  <c r="AD66" i="60"/>
  <c r="AC66" i="60"/>
  <c r="AB66" i="60"/>
  <c r="AA66" i="60"/>
  <c r="Z66" i="60"/>
  <c r="Y66" i="60"/>
  <c r="X66" i="60"/>
  <c r="W66" i="60"/>
  <c r="V66" i="60"/>
  <c r="U66" i="60"/>
  <c r="T66" i="60"/>
  <c r="S66" i="60"/>
  <c r="R66" i="60"/>
  <c r="Q66" i="60"/>
  <c r="P66" i="60"/>
  <c r="O66" i="60"/>
  <c r="N66" i="60"/>
  <c r="M66" i="60"/>
  <c r="L66" i="60"/>
  <c r="K66" i="60"/>
  <c r="J66" i="60"/>
  <c r="AS65" i="60"/>
  <c r="AR65" i="60"/>
  <c r="AQ65" i="60"/>
  <c r="AP65" i="60"/>
  <c r="AO65" i="60"/>
  <c r="AN65" i="60"/>
  <c r="AM65" i="60"/>
  <c r="AL65" i="60"/>
  <c r="AK65" i="60"/>
  <c r="AJ65" i="60"/>
  <c r="AI65" i="60"/>
  <c r="AH65" i="60"/>
  <c r="AG65" i="60"/>
  <c r="AF65" i="60"/>
  <c r="AE65" i="60"/>
  <c r="AD65" i="60"/>
  <c r="AC65" i="60"/>
  <c r="AB65" i="60"/>
  <c r="AA65" i="60"/>
  <c r="Z65" i="60"/>
  <c r="Y65" i="60"/>
  <c r="X65" i="60"/>
  <c r="W65" i="60"/>
  <c r="V65" i="60"/>
  <c r="U65" i="60"/>
  <c r="T65" i="60"/>
  <c r="S65" i="60"/>
  <c r="R65" i="60"/>
  <c r="Q65" i="60"/>
  <c r="P65" i="60"/>
  <c r="O65" i="60"/>
  <c r="N65" i="60"/>
  <c r="M65" i="60"/>
  <c r="L65" i="60"/>
  <c r="K65" i="60"/>
  <c r="J65" i="60"/>
  <c r="AS64" i="60"/>
  <c r="AR64" i="60"/>
  <c r="AQ64" i="60"/>
  <c r="AP64" i="60"/>
  <c r="AO64" i="60"/>
  <c r="AN64" i="60"/>
  <c r="AM64" i="60"/>
  <c r="AL64" i="60"/>
  <c r="AK64" i="60"/>
  <c r="AJ64" i="60"/>
  <c r="AI64" i="60"/>
  <c r="AH64" i="60"/>
  <c r="AG64" i="60"/>
  <c r="AF64" i="60"/>
  <c r="AE64" i="60"/>
  <c r="AD64" i="60"/>
  <c r="AC64" i="60"/>
  <c r="AB64" i="60"/>
  <c r="AA64" i="60"/>
  <c r="Z64" i="60"/>
  <c r="Y64" i="60"/>
  <c r="X64" i="60"/>
  <c r="W64" i="60"/>
  <c r="V64" i="60"/>
  <c r="U64" i="60"/>
  <c r="T64" i="60"/>
  <c r="S64" i="60"/>
  <c r="R64" i="60"/>
  <c r="Q64" i="60"/>
  <c r="P64" i="60"/>
  <c r="O64" i="60"/>
  <c r="N64" i="60"/>
  <c r="M64" i="60"/>
  <c r="L64" i="60"/>
  <c r="K64" i="60"/>
  <c r="J64" i="60"/>
  <c r="AS63" i="60"/>
  <c r="AR63" i="60"/>
  <c r="AQ63" i="60"/>
  <c r="AP63" i="60"/>
  <c r="AO63" i="60"/>
  <c r="AN63" i="60"/>
  <c r="AM63" i="60"/>
  <c r="AL63" i="60"/>
  <c r="AK63" i="60"/>
  <c r="AJ63" i="60"/>
  <c r="AI63" i="60"/>
  <c r="AH63" i="60"/>
  <c r="AG63" i="60"/>
  <c r="AF63" i="60"/>
  <c r="AE63" i="60"/>
  <c r="AD63" i="60"/>
  <c r="AC63" i="60"/>
  <c r="AB63" i="60"/>
  <c r="AA63" i="60"/>
  <c r="Z63" i="60"/>
  <c r="Y63" i="60"/>
  <c r="X63" i="60"/>
  <c r="W63" i="60"/>
  <c r="V63" i="60"/>
  <c r="U63" i="60"/>
  <c r="T63" i="60"/>
  <c r="S63" i="60"/>
  <c r="R63" i="60"/>
  <c r="Q63" i="60"/>
  <c r="P63" i="60"/>
  <c r="O63" i="60"/>
  <c r="N63" i="60"/>
  <c r="M63" i="60"/>
  <c r="L63" i="60"/>
  <c r="K63" i="60"/>
  <c r="J63" i="60"/>
  <c r="AS62" i="60"/>
  <c r="AR62" i="60"/>
  <c r="AQ62" i="60"/>
  <c r="AP62" i="60"/>
  <c r="AO62" i="60"/>
  <c r="AN62" i="60"/>
  <c r="AM62" i="60"/>
  <c r="AL62" i="60"/>
  <c r="AK62" i="60"/>
  <c r="AJ62" i="60"/>
  <c r="AI62" i="60"/>
  <c r="AH62" i="60"/>
  <c r="AG62" i="60"/>
  <c r="AF62" i="60"/>
  <c r="AE62" i="60"/>
  <c r="AD62" i="60"/>
  <c r="AC62" i="60"/>
  <c r="AB62" i="60"/>
  <c r="AA62" i="60"/>
  <c r="Z62" i="60"/>
  <c r="Y62" i="60"/>
  <c r="X62" i="60"/>
  <c r="W62" i="60"/>
  <c r="V62" i="60"/>
  <c r="U62" i="60"/>
  <c r="T62" i="60"/>
  <c r="S62" i="60"/>
  <c r="R62" i="60"/>
  <c r="Q62" i="60"/>
  <c r="P62" i="60"/>
  <c r="O62" i="60"/>
  <c r="N62" i="60"/>
  <c r="M62" i="60"/>
  <c r="L62" i="60"/>
  <c r="K62" i="60"/>
  <c r="J62" i="60"/>
  <c r="AS61" i="60"/>
  <c r="AR61" i="60"/>
  <c r="AQ61" i="60"/>
  <c r="AP61" i="60"/>
  <c r="AO61" i="60"/>
  <c r="AN61" i="60"/>
  <c r="AM61" i="60"/>
  <c r="AL61" i="60"/>
  <c r="AK61" i="60"/>
  <c r="AJ61" i="60"/>
  <c r="AI61" i="60"/>
  <c r="AH61" i="60"/>
  <c r="AG61" i="60"/>
  <c r="AF61" i="60"/>
  <c r="AE61" i="60"/>
  <c r="AD61" i="60"/>
  <c r="AC61" i="60"/>
  <c r="AB61" i="60"/>
  <c r="AA61" i="60"/>
  <c r="Z61" i="60"/>
  <c r="Y61" i="60"/>
  <c r="X61" i="60"/>
  <c r="W61" i="60"/>
  <c r="V61" i="60"/>
  <c r="U61" i="60"/>
  <c r="T61" i="60"/>
  <c r="S61" i="60"/>
  <c r="R61" i="60"/>
  <c r="Q61" i="60"/>
  <c r="P61" i="60"/>
  <c r="O61" i="60"/>
  <c r="N61" i="60"/>
  <c r="M61" i="60"/>
  <c r="L61" i="60"/>
  <c r="K61" i="60"/>
  <c r="J61" i="60"/>
  <c r="AS60" i="60"/>
  <c r="AR60" i="60"/>
  <c r="AQ60" i="60"/>
  <c r="AP60" i="60"/>
  <c r="AO60" i="60"/>
  <c r="AN60" i="60"/>
  <c r="AM60" i="60"/>
  <c r="AL60" i="60"/>
  <c r="AK60" i="60"/>
  <c r="AJ60" i="60"/>
  <c r="AI60" i="60"/>
  <c r="AH60" i="60"/>
  <c r="AG60" i="60"/>
  <c r="AF60" i="60"/>
  <c r="AE60" i="60"/>
  <c r="AD60" i="60"/>
  <c r="AC60" i="60"/>
  <c r="AB60" i="60"/>
  <c r="AA60" i="60"/>
  <c r="Z60" i="60"/>
  <c r="Y60" i="60"/>
  <c r="X60" i="60"/>
  <c r="W60" i="60"/>
  <c r="V60" i="60"/>
  <c r="U60" i="60"/>
  <c r="T60" i="60"/>
  <c r="S60" i="60"/>
  <c r="R60" i="60"/>
  <c r="Q60" i="60"/>
  <c r="P60" i="60"/>
  <c r="O60" i="60"/>
  <c r="N60" i="60"/>
  <c r="M60" i="60"/>
  <c r="L60" i="60"/>
  <c r="K60" i="60"/>
  <c r="J60" i="60"/>
  <c r="AS59" i="60"/>
  <c r="AR59" i="60"/>
  <c r="AQ59" i="60"/>
  <c r="AP59" i="60"/>
  <c r="AO59" i="60"/>
  <c r="AN59" i="60"/>
  <c r="AM59" i="60"/>
  <c r="AL59" i="60"/>
  <c r="AK59" i="60"/>
  <c r="AJ59" i="60"/>
  <c r="AI59" i="60"/>
  <c r="AH59" i="60"/>
  <c r="AG59" i="60"/>
  <c r="AF59" i="60"/>
  <c r="AE59" i="60"/>
  <c r="AD59" i="60"/>
  <c r="AC59" i="60"/>
  <c r="AB59" i="60"/>
  <c r="AA59" i="60"/>
  <c r="Z59" i="60"/>
  <c r="Y59" i="60"/>
  <c r="X59" i="60"/>
  <c r="W59" i="60"/>
  <c r="V59" i="60"/>
  <c r="U59" i="60"/>
  <c r="T59" i="60"/>
  <c r="S59" i="60"/>
  <c r="R59" i="60"/>
  <c r="Q59" i="60"/>
  <c r="P59" i="60"/>
  <c r="O59" i="60"/>
  <c r="N59" i="60"/>
  <c r="M59" i="60"/>
  <c r="L59" i="60"/>
  <c r="K59" i="60"/>
  <c r="J59" i="60"/>
  <c r="AS58" i="60"/>
  <c r="AR58" i="60"/>
  <c r="AQ58" i="60"/>
  <c r="AP58" i="60"/>
  <c r="AO58" i="60"/>
  <c r="AN58" i="60"/>
  <c r="AM58" i="60"/>
  <c r="AL58" i="60"/>
  <c r="AK58" i="60"/>
  <c r="AJ58" i="60"/>
  <c r="AI58" i="60"/>
  <c r="AH58" i="60"/>
  <c r="AG58" i="60"/>
  <c r="AF58" i="60"/>
  <c r="AE58" i="60"/>
  <c r="AD58" i="60"/>
  <c r="AC58" i="60"/>
  <c r="AB58" i="60"/>
  <c r="AA58" i="60"/>
  <c r="Z58" i="60"/>
  <c r="Y58" i="60"/>
  <c r="X58" i="60"/>
  <c r="W58" i="60"/>
  <c r="V58" i="60"/>
  <c r="U58" i="60"/>
  <c r="T58" i="60"/>
  <c r="S58" i="60"/>
  <c r="R58" i="60"/>
  <c r="Q58" i="60"/>
  <c r="P58" i="60"/>
  <c r="O58" i="60"/>
  <c r="N58" i="60"/>
  <c r="M58" i="60"/>
  <c r="L58" i="60"/>
  <c r="K58" i="60"/>
  <c r="J58" i="60"/>
  <c r="AS57" i="60"/>
  <c r="AR57" i="60"/>
  <c r="AQ57" i="60"/>
  <c r="AP57" i="60"/>
  <c r="AO57" i="60"/>
  <c r="AN57" i="60"/>
  <c r="AM57" i="60"/>
  <c r="AL57" i="60"/>
  <c r="AK57" i="60"/>
  <c r="AJ57" i="60"/>
  <c r="AI57" i="60"/>
  <c r="AH57" i="60"/>
  <c r="AG57" i="60"/>
  <c r="AF57" i="60"/>
  <c r="AE57" i="60"/>
  <c r="AD57" i="60"/>
  <c r="AC57" i="60"/>
  <c r="AB57" i="60"/>
  <c r="AA57" i="60"/>
  <c r="Z57" i="60"/>
  <c r="Y57" i="60"/>
  <c r="X57" i="60"/>
  <c r="W57" i="60"/>
  <c r="V57" i="60"/>
  <c r="U57" i="60"/>
  <c r="T57" i="60"/>
  <c r="S57" i="60"/>
  <c r="R57" i="60"/>
  <c r="Q57" i="60"/>
  <c r="P57" i="60"/>
  <c r="O57" i="60"/>
  <c r="N57" i="60"/>
  <c r="M57" i="60"/>
  <c r="L57" i="60"/>
  <c r="K57" i="60"/>
  <c r="J57" i="60"/>
  <c r="AS56" i="60"/>
  <c r="AR56" i="60"/>
  <c r="AQ56" i="60"/>
  <c r="AP56" i="60"/>
  <c r="AO56" i="60"/>
  <c r="AN56" i="60"/>
  <c r="AM56" i="60"/>
  <c r="AL56" i="60"/>
  <c r="AK56" i="60"/>
  <c r="AJ56" i="60"/>
  <c r="AI56" i="60"/>
  <c r="AH56" i="60"/>
  <c r="AG56" i="60"/>
  <c r="AF56" i="60"/>
  <c r="AE56" i="60"/>
  <c r="AD56" i="60"/>
  <c r="AC56" i="60"/>
  <c r="AB56" i="60"/>
  <c r="AA56" i="60"/>
  <c r="Z56" i="60"/>
  <c r="Y56" i="60"/>
  <c r="X56" i="60"/>
  <c r="W56" i="60"/>
  <c r="V56" i="60"/>
  <c r="U56" i="60"/>
  <c r="T56" i="60"/>
  <c r="S56" i="60"/>
  <c r="R56" i="60"/>
  <c r="Q56" i="60"/>
  <c r="P56" i="60"/>
  <c r="O56" i="60"/>
  <c r="N56" i="60"/>
  <c r="M56" i="60"/>
  <c r="L56" i="60"/>
  <c r="K56" i="60"/>
  <c r="J56" i="60"/>
  <c r="AS55" i="60"/>
  <c r="AR55" i="60"/>
  <c r="AQ55" i="60"/>
  <c r="AP55" i="60"/>
  <c r="AO55" i="60"/>
  <c r="AN55" i="60"/>
  <c r="AM55" i="60"/>
  <c r="AL55" i="60"/>
  <c r="AK55" i="60"/>
  <c r="AJ55" i="60"/>
  <c r="AI55" i="60"/>
  <c r="AH55" i="60"/>
  <c r="AG55" i="60"/>
  <c r="AF55" i="60"/>
  <c r="AE55" i="60"/>
  <c r="AD55" i="60"/>
  <c r="AC55" i="60"/>
  <c r="AB55" i="60"/>
  <c r="AA55" i="60"/>
  <c r="Z55" i="60"/>
  <c r="Y55" i="60"/>
  <c r="X55" i="60"/>
  <c r="W55" i="60"/>
  <c r="V55" i="60"/>
  <c r="U55" i="60"/>
  <c r="T55" i="60"/>
  <c r="S55" i="60"/>
  <c r="R55" i="60"/>
  <c r="Q55" i="60"/>
  <c r="P55" i="60"/>
  <c r="O55" i="60"/>
  <c r="N55" i="60"/>
  <c r="M55" i="60"/>
  <c r="L55" i="60"/>
  <c r="K55" i="60"/>
  <c r="J55" i="60"/>
  <c r="AS54" i="60"/>
  <c r="AR54" i="60"/>
  <c r="AQ54" i="60"/>
  <c r="AP54" i="60"/>
  <c r="AO54" i="60"/>
  <c r="AN54" i="60"/>
  <c r="AM54" i="60"/>
  <c r="AL54" i="60"/>
  <c r="AK54" i="60"/>
  <c r="AJ54" i="60"/>
  <c r="AI54" i="60"/>
  <c r="AH54" i="60"/>
  <c r="AG54" i="60"/>
  <c r="AF54" i="60"/>
  <c r="AE54" i="60"/>
  <c r="AD54" i="60"/>
  <c r="AC54" i="60"/>
  <c r="AB54" i="60"/>
  <c r="AA54" i="60"/>
  <c r="Z54" i="60"/>
  <c r="Y54" i="60"/>
  <c r="X54" i="60"/>
  <c r="W54" i="60"/>
  <c r="V54" i="60"/>
  <c r="U54" i="60"/>
  <c r="T54" i="60"/>
  <c r="S54" i="60"/>
  <c r="R54" i="60"/>
  <c r="Q54" i="60"/>
  <c r="P54" i="60"/>
  <c r="O54" i="60"/>
  <c r="N54" i="60"/>
  <c r="M54" i="60"/>
  <c r="L54" i="60"/>
  <c r="K54" i="60"/>
  <c r="J54" i="60"/>
  <c r="AS53" i="60"/>
  <c r="AR53" i="60"/>
  <c r="AQ53" i="60"/>
  <c r="AP53" i="60"/>
  <c r="AO53" i="60"/>
  <c r="AN53" i="60"/>
  <c r="AM53" i="60"/>
  <c r="AL53" i="60"/>
  <c r="AK53" i="60"/>
  <c r="AJ53" i="60"/>
  <c r="AI53" i="60"/>
  <c r="AH53" i="60"/>
  <c r="AG53" i="60"/>
  <c r="AF53" i="60"/>
  <c r="AE53" i="60"/>
  <c r="AD53" i="60"/>
  <c r="AC53" i="60"/>
  <c r="AB53" i="60"/>
  <c r="AA53" i="60"/>
  <c r="Z53" i="60"/>
  <c r="Y53" i="60"/>
  <c r="X53" i="60"/>
  <c r="W53" i="60"/>
  <c r="V53" i="60"/>
  <c r="U53" i="60"/>
  <c r="T53" i="60"/>
  <c r="S53" i="60"/>
  <c r="R53" i="60"/>
  <c r="Q53" i="60"/>
  <c r="P53" i="60"/>
  <c r="O53" i="60"/>
  <c r="N53" i="60"/>
  <c r="M53" i="60"/>
  <c r="L53" i="60"/>
  <c r="K53" i="60"/>
  <c r="J53" i="60"/>
  <c r="AS52" i="60"/>
  <c r="AR52" i="60"/>
  <c r="AQ52" i="60"/>
  <c r="AP52" i="60"/>
  <c r="AO52" i="60"/>
  <c r="AN52" i="60"/>
  <c r="AM52" i="60"/>
  <c r="AL52" i="60"/>
  <c r="AK52" i="60"/>
  <c r="AJ52" i="60"/>
  <c r="AI52" i="60"/>
  <c r="AH52" i="60"/>
  <c r="AG52" i="60"/>
  <c r="AF52" i="60"/>
  <c r="AE52" i="60"/>
  <c r="AD52" i="60"/>
  <c r="AC52" i="60"/>
  <c r="AB52" i="60"/>
  <c r="AA52" i="60"/>
  <c r="Z52" i="60"/>
  <c r="Y52" i="60"/>
  <c r="X52" i="60"/>
  <c r="W52" i="60"/>
  <c r="V52" i="60"/>
  <c r="U52" i="60"/>
  <c r="T52" i="60"/>
  <c r="S52" i="60"/>
  <c r="R52" i="60"/>
  <c r="Q52" i="60"/>
  <c r="P52" i="60"/>
  <c r="O52" i="60"/>
  <c r="N52" i="60"/>
  <c r="M52" i="60"/>
  <c r="L52" i="60"/>
  <c r="K52" i="60"/>
  <c r="J52" i="60"/>
  <c r="AS51" i="60"/>
  <c r="AR51" i="60"/>
  <c r="AQ51" i="60"/>
  <c r="AP51" i="60"/>
  <c r="AO51" i="60"/>
  <c r="AN51" i="60"/>
  <c r="AM51" i="60"/>
  <c r="AL51" i="60"/>
  <c r="AK51" i="60"/>
  <c r="AJ51" i="60"/>
  <c r="AI51" i="60"/>
  <c r="AH51" i="60"/>
  <c r="AG51" i="60"/>
  <c r="AF51" i="60"/>
  <c r="AE51" i="60"/>
  <c r="AD51" i="60"/>
  <c r="AC51" i="60"/>
  <c r="AB51" i="60"/>
  <c r="AA51" i="60"/>
  <c r="Z51" i="60"/>
  <c r="Y51" i="60"/>
  <c r="X51" i="60"/>
  <c r="W51" i="60"/>
  <c r="V51" i="60"/>
  <c r="U51" i="60"/>
  <c r="T51" i="60"/>
  <c r="S51" i="60"/>
  <c r="R51" i="60"/>
  <c r="Q51" i="60"/>
  <c r="P51" i="60"/>
  <c r="O51" i="60"/>
  <c r="N51" i="60"/>
  <c r="M51" i="60"/>
  <c r="L51" i="60"/>
  <c r="K51" i="60"/>
  <c r="J51" i="60"/>
  <c r="AS50" i="60"/>
  <c r="AR50" i="60"/>
  <c r="AQ50" i="60"/>
  <c r="AP50" i="60"/>
  <c r="AO50" i="60"/>
  <c r="AN50" i="60"/>
  <c r="AM50" i="60"/>
  <c r="AL50" i="60"/>
  <c r="AK50" i="60"/>
  <c r="AJ50" i="60"/>
  <c r="AI50" i="60"/>
  <c r="AH50" i="60"/>
  <c r="AG50" i="60"/>
  <c r="AF50" i="60"/>
  <c r="AE50" i="60"/>
  <c r="AD50" i="60"/>
  <c r="AC50" i="60"/>
  <c r="AB50" i="60"/>
  <c r="AA50" i="60"/>
  <c r="Z50" i="60"/>
  <c r="Y50" i="60"/>
  <c r="X50" i="60"/>
  <c r="W50" i="60"/>
  <c r="V50" i="60"/>
  <c r="U50" i="60"/>
  <c r="T50" i="60"/>
  <c r="S50" i="60"/>
  <c r="R50" i="60"/>
  <c r="Q50" i="60"/>
  <c r="P50" i="60"/>
  <c r="O50" i="60"/>
  <c r="N50" i="60"/>
  <c r="M50" i="60"/>
  <c r="L50" i="60"/>
  <c r="K50" i="60"/>
  <c r="J50" i="60"/>
  <c r="AS49" i="60"/>
  <c r="AR49" i="60"/>
  <c r="AQ49" i="60"/>
  <c r="AP49" i="60"/>
  <c r="AO49" i="60"/>
  <c r="AN49" i="60"/>
  <c r="AM49" i="60"/>
  <c r="AL49" i="60"/>
  <c r="AK49" i="60"/>
  <c r="AJ49" i="60"/>
  <c r="AI49" i="60"/>
  <c r="AH49" i="60"/>
  <c r="AG49" i="60"/>
  <c r="AF49" i="60"/>
  <c r="AE49" i="60"/>
  <c r="AD49" i="60"/>
  <c r="AC49" i="60"/>
  <c r="AB49" i="60"/>
  <c r="AA49" i="60"/>
  <c r="Z49" i="60"/>
  <c r="Y49" i="60"/>
  <c r="X49" i="60"/>
  <c r="W49" i="60"/>
  <c r="V49" i="60"/>
  <c r="U49" i="60"/>
  <c r="T49" i="60"/>
  <c r="S49" i="60"/>
  <c r="R49" i="60"/>
  <c r="Q49" i="60"/>
  <c r="P49" i="60"/>
  <c r="O49" i="60"/>
  <c r="N49" i="60"/>
  <c r="M49" i="60"/>
  <c r="L49" i="60"/>
  <c r="K49" i="60"/>
  <c r="J49" i="60"/>
  <c r="AS48" i="60"/>
  <c r="AR48" i="60"/>
  <c r="AQ48" i="60"/>
  <c r="AP48" i="60"/>
  <c r="AO48" i="60"/>
  <c r="AN48" i="60"/>
  <c r="AM48" i="60"/>
  <c r="AL48" i="60"/>
  <c r="AK48" i="60"/>
  <c r="AJ48" i="60"/>
  <c r="AI48" i="60"/>
  <c r="AH48" i="60"/>
  <c r="AG48" i="60"/>
  <c r="AF48" i="60"/>
  <c r="AE48" i="60"/>
  <c r="AD48" i="60"/>
  <c r="AC48" i="60"/>
  <c r="AB48" i="60"/>
  <c r="AA48" i="60"/>
  <c r="Z48" i="60"/>
  <c r="Y48" i="60"/>
  <c r="X48" i="60"/>
  <c r="W48" i="60"/>
  <c r="V48" i="60"/>
  <c r="U48" i="60"/>
  <c r="T48" i="60"/>
  <c r="S48" i="60"/>
  <c r="R48" i="60"/>
  <c r="Q48" i="60"/>
  <c r="P48" i="60"/>
  <c r="O48" i="60"/>
  <c r="N48" i="60"/>
  <c r="M48" i="60"/>
  <c r="L48" i="60"/>
  <c r="K48" i="60"/>
  <c r="J48" i="60"/>
  <c r="AS47" i="60"/>
  <c r="AR47" i="60"/>
  <c r="AQ47" i="60"/>
  <c r="AP47" i="60"/>
  <c r="AO47" i="60"/>
  <c r="AN47" i="60"/>
  <c r="AM47" i="60"/>
  <c r="AL47" i="60"/>
  <c r="AK47" i="60"/>
  <c r="AJ47" i="60"/>
  <c r="AI47" i="60"/>
  <c r="AH47" i="60"/>
  <c r="AG47" i="60"/>
  <c r="AF47" i="60"/>
  <c r="AE47" i="60"/>
  <c r="AD47" i="60"/>
  <c r="AC47" i="60"/>
  <c r="AB47" i="60"/>
  <c r="AA47" i="60"/>
  <c r="Z47" i="60"/>
  <c r="Y47" i="60"/>
  <c r="X47" i="60"/>
  <c r="W47" i="60"/>
  <c r="V47" i="60"/>
  <c r="U47" i="60"/>
  <c r="T47" i="60"/>
  <c r="S47" i="60"/>
  <c r="R47" i="60"/>
  <c r="Q47" i="60"/>
  <c r="P47" i="60"/>
  <c r="O47" i="60"/>
  <c r="N47" i="60"/>
  <c r="M47" i="60"/>
  <c r="L47" i="60"/>
  <c r="K47" i="60"/>
  <c r="J47" i="60"/>
  <c r="AS46" i="60"/>
  <c r="AR46" i="60"/>
  <c r="AQ46" i="60"/>
  <c r="AP46" i="60"/>
  <c r="AO46" i="60"/>
  <c r="AN46" i="60"/>
  <c r="AM46" i="60"/>
  <c r="AL46" i="60"/>
  <c r="AK46" i="60"/>
  <c r="AJ46" i="60"/>
  <c r="AI46" i="60"/>
  <c r="AH46" i="60"/>
  <c r="AG46" i="60"/>
  <c r="AF46" i="60"/>
  <c r="AE46" i="60"/>
  <c r="AD46" i="60"/>
  <c r="AC46" i="60"/>
  <c r="AB46" i="60"/>
  <c r="AA46" i="60"/>
  <c r="Z46" i="60"/>
  <c r="Y46" i="60"/>
  <c r="X46" i="60"/>
  <c r="W46" i="60"/>
  <c r="V46" i="60"/>
  <c r="U46" i="60"/>
  <c r="T46" i="60"/>
  <c r="S46" i="60"/>
  <c r="R46" i="60"/>
  <c r="Q46" i="60"/>
  <c r="P46" i="60"/>
  <c r="O46" i="60"/>
  <c r="N46" i="60"/>
  <c r="M46" i="60"/>
  <c r="L46" i="60"/>
  <c r="K46" i="60"/>
  <c r="J46" i="60"/>
  <c r="AS45" i="60"/>
  <c r="AR45" i="60"/>
  <c r="AQ45" i="60"/>
  <c r="AP45" i="60"/>
  <c r="AO45" i="60"/>
  <c r="AN45" i="60"/>
  <c r="AN84" i="60" s="1"/>
  <c r="AM45" i="60"/>
  <c r="AL45" i="60"/>
  <c r="AK45" i="60"/>
  <c r="AJ45" i="60"/>
  <c r="AJ84" i="60" s="1"/>
  <c r="AI45" i="60"/>
  <c r="AI84" i="60" s="1"/>
  <c r="AH45" i="60"/>
  <c r="AH84" i="60" s="1"/>
  <c r="AG45" i="60"/>
  <c r="AF45" i="60"/>
  <c r="AE45" i="60"/>
  <c r="AD45" i="60"/>
  <c r="AC45" i="60"/>
  <c r="AB45" i="60"/>
  <c r="AB84" i="60" s="1"/>
  <c r="AA45" i="60"/>
  <c r="AA84" i="60" s="1"/>
  <c r="Z45" i="60"/>
  <c r="Z84" i="60" s="1"/>
  <c r="Y45" i="60"/>
  <c r="Y84" i="60" s="1"/>
  <c r="X45" i="60"/>
  <c r="W45" i="60"/>
  <c r="V45" i="60"/>
  <c r="U45" i="60"/>
  <c r="U84" i="60" s="1"/>
  <c r="T45" i="60"/>
  <c r="T84" i="60" s="1"/>
  <c r="S45" i="60"/>
  <c r="S84" i="60" s="1"/>
  <c r="R45" i="60"/>
  <c r="R84" i="60" s="1"/>
  <c r="Q45" i="60"/>
  <c r="Q84" i="60" s="1"/>
  <c r="P45" i="60"/>
  <c r="P84" i="60" s="1"/>
  <c r="O45" i="60"/>
  <c r="N45" i="60"/>
  <c r="M45" i="60"/>
  <c r="L45" i="60"/>
  <c r="K45" i="60"/>
  <c r="J45" i="60"/>
  <c r="J84" i="60" s="1"/>
  <c r="AS84" i="60"/>
  <c r="AM84" i="60"/>
  <c r="AL84" i="60"/>
  <c r="AK84" i="60"/>
  <c r="O84" i="60"/>
  <c r="AS83" i="60"/>
  <c r="AR83" i="60"/>
  <c r="AQ83" i="60"/>
  <c r="AP83" i="60"/>
  <c r="AO83" i="60"/>
  <c r="AN83" i="60"/>
  <c r="AM83" i="60"/>
  <c r="AL83" i="60"/>
  <c r="AK83" i="60"/>
  <c r="AJ83" i="60"/>
  <c r="AI83" i="60"/>
  <c r="AH83" i="60"/>
  <c r="AG83" i="60"/>
  <c r="AF83" i="60"/>
  <c r="AE83" i="60"/>
  <c r="AD83" i="60"/>
  <c r="AC83" i="60"/>
  <c r="AB83" i="60"/>
  <c r="AA83" i="60"/>
  <c r="Z83" i="60"/>
  <c r="Y83" i="60"/>
  <c r="X83" i="60"/>
  <c r="W83" i="60"/>
  <c r="V83" i="60"/>
  <c r="U83" i="60"/>
  <c r="T83" i="60"/>
  <c r="S83" i="60"/>
  <c r="R83" i="60"/>
  <c r="Q83" i="60"/>
  <c r="P83" i="60"/>
  <c r="O83" i="60"/>
  <c r="N83" i="60"/>
  <c r="M83" i="60"/>
  <c r="L83" i="60"/>
  <c r="K83" i="60"/>
  <c r="J83" i="60"/>
  <c r="AS82" i="60"/>
  <c r="AR82" i="60"/>
  <c r="AQ82" i="60"/>
  <c r="AP82" i="60"/>
  <c r="AO82" i="60"/>
  <c r="AN82" i="60"/>
  <c r="AM82" i="60"/>
  <c r="AL82" i="60"/>
  <c r="AK82" i="60"/>
  <c r="AJ82" i="60"/>
  <c r="AI82" i="60"/>
  <c r="AH82" i="60"/>
  <c r="AG82" i="60"/>
  <c r="AF82" i="60"/>
  <c r="AE82" i="60"/>
  <c r="AD82" i="60"/>
  <c r="AC82" i="60"/>
  <c r="AB82" i="60"/>
  <c r="AA82" i="60"/>
  <c r="Z82" i="60"/>
  <c r="Y82" i="60"/>
  <c r="X82" i="60"/>
  <c r="W82" i="60"/>
  <c r="V82" i="60"/>
  <c r="U82" i="60"/>
  <c r="T82" i="60"/>
  <c r="S82" i="60"/>
  <c r="R82" i="60"/>
  <c r="Q82" i="60"/>
  <c r="P82" i="60"/>
  <c r="O82" i="60"/>
  <c r="N82" i="60"/>
  <c r="M82" i="60"/>
  <c r="L82" i="60"/>
  <c r="K82" i="60"/>
  <c r="J82" i="60"/>
  <c r="AS81" i="60"/>
  <c r="AR81" i="60"/>
  <c r="AQ81" i="60"/>
  <c r="AP81" i="60"/>
  <c r="AO81" i="60"/>
  <c r="AN81" i="60"/>
  <c r="AM81" i="60"/>
  <c r="AL81" i="60"/>
  <c r="AK81" i="60"/>
  <c r="AJ81" i="60"/>
  <c r="AI81" i="60"/>
  <c r="AH81" i="60"/>
  <c r="AG81" i="60"/>
  <c r="AF81" i="60"/>
  <c r="AE81" i="60"/>
  <c r="AD81" i="60"/>
  <c r="AC81" i="60"/>
  <c r="AB81" i="60"/>
  <c r="AA81" i="60"/>
  <c r="Z81" i="60"/>
  <c r="Y81" i="60"/>
  <c r="X81" i="60"/>
  <c r="W81" i="60"/>
  <c r="V81" i="60"/>
  <c r="U81" i="60"/>
  <c r="T81" i="60"/>
  <c r="S81" i="60"/>
  <c r="R81" i="60"/>
  <c r="Q81" i="60"/>
  <c r="P81" i="60"/>
  <c r="O81" i="60"/>
  <c r="N81" i="60"/>
  <c r="M81" i="60"/>
  <c r="L81" i="60"/>
  <c r="K81" i="60"/>
  <c r="J81" i="60"/>
  <c r="AR84" i="60"/>
  <c r="AQ84" i="60"/>
  <c r="AP84" i="60"/>
  <c r="AO84" i="60"/>
  <c r="AG84" i="60"/>
  <c r="AF84" i="60"/>
  <c r="AE84" i="60"/>
  <c r="AD84" i="60"/>
  <c r="AC84" i="60"/>
  <c r="X84" i="60"/>
  <c r="W84" i="60"/>
  <c r="V84" i="60"/>
  <c r="N84" i="60"/>
  <c r="M84" i="60"/>
  <c r="L84" i="60"/>
  <c r="K84" i="60"/>
  <c r="F15" i="70"/>
  <c r="E15" i="70"/>
  <c r="F14" i="70"/>
  <c r="E14" i="70"/>
  <c r="D14" i="70"/>
  <c r="F13" i="70"/>
  <c r="E13" i="70"/>
  <c r="D13" i="70"/>
  <c r="F12" i="70"/>
  <c r="E12" i="70"/>
  <c r="D12" i="70"/>
  <c r="F11" i="70"/>
  <c r="E11" i="70"/>
  <c r="D11" i="70"/>
  <c r="F10" i="70"/>
  <c r="E10" i="70"/>
  <c r="D10" i="70"/>
  <c r="F9" i="70"/>
  <c r="E9" i="70"/>
  <c r="D9" i="70"/>
  <c r="F8" i="70"/>
  <c r="E8" i="70"/>
  <c r="D8" i="70"/>
  <c r="F7" i="70"/>
  <c r="E7" i="70"/>
  <c r="D7" i="70"/>
  <c r="F6" i="70"/>
  <c r="E6" i="70"/>
  <c r="D6" i="70"/>
  <c r="F5" i="70"/>
  <c r="E5" i="70"/>
  <c r="D5" i="70"/>
  <c r="D15" i="70"/>
  <c r="J22" i="70"/>
  <c r="I22" i="70"/>
  <c r="H22" i="70"/>
  <c r="J21" i="70"/>
  <c r="I21" i="70"/>
  <c r="H21" i="70"/>
  <c r="J20" i="70"/>
  <c r="I20" i="70"/>
  <c r="H20" i="70"/>
  <c r="J15" i="70"/>
  <c r="I15" i="70"/>
  <c r="H15" i="70"/>
  <c r="J14" i="70"/>
  <c r="I14" i="70"/>
  <c r="H14" i="70"/>
  <c r="J13" i="70"/>
  <c r="I13" i="70"/>
  <c r="H13" i="70"/>
  <c r="J12" i="70"/>
  <c r="I12" i="70"/>
  <c r="H12" i="70"/>
  <c r="J11" i="70"/>
  <c r="I11" i="70"/>
  <c r="H11" i="70"/>
  <c r="J10" i="70"/>
  <c r="I10" i="70"/>
  <c r="H10" i="70"/>
  <c r="J9" i="70"/>
  <c r="I9" i="70"/>
  <c r="H9" i="70"/>
  <c r="J8" i="70"/>
  <c r="I8" i="70"/>
  <c r="H8" i="70"/>
  <c r="J7" i="70"/>
  <c r="I7" i="70"/>
  <c r="H7" i="70"/>
  <c r="J6" i="70"/>
  <c r="I6" i="70"/>
  <c r="H6" i="70"/>
  <c r="J5" i="70"/>
  <c r="I5" i="70"/>
  <c r="H5" i="70"/>
  <c r="F21" i="75"/>
  <c r="I17" i="70" l="1"/>
  <c r="J17" i="70"/>
  <c r="H17" i="70"/>
  <c r="H16" i="70"/>
  <c r="J16" i="70"/>
  <c r="H18" i="70"/>
  <c r="I18" i="70"/>
  <c r="J18" i="70"/>
  <c r="I16" i="70"/>
  <c r="H19" i="70"/>
  <c r="I19" i="70"/>
  <c r="J19" i="70"/>
  <c r="F22" i="70"/>
  <c r="E22" i="70"/>
  <c r="D22" i="70"/>
  <c r="F21" i="70"/>
  <c r="E21" i="70"/>
  <c r="D21" i="70"/>
  <c r="F20" i="70"/>
  <c r="E20" i="70"/>
  <c r="D20" i="70"/>
  <c r="T2" i="70"/>
  <c r="T146" i="70" s="1"/>
  <c r="P2" i="70"/>
  <c r="P140" i="70" s="1"/>
  <c r="L2" i="70"/>
  <c r="L134" i="70" s="1"/>
  <c r="L65" i="55"/>
  <c r="L64" i="55"/>
  <c r="L63" i="55"/>
  <c r="L62" i="55"/>
  <c r="K65" i="55"/>
  <c r="J65" i="55"/>
  <c r="K64" i="55"/>
  <c r="J64" i="55"/>
  <c r="K63" i="55"/>
  <c r="J63" i="55"/>
  <c r="K62" i="55"/>
  <c r="J62" i="55"/>
  <c r="P65" i="55"/>
  <c r="O65" i="55"/>
  <c r="N65" i="55"/>
  <c r="P64" i="55"/>
  <c r="O64" i="55"/>
  <c r="N64" i="55"/>
  <c r="P63" i="55"/>
  <c r="O63" i="55"/>
  <c r="N63" i="55"/>
  <c r="P62" i="55"/>
  <c r="O62" i="55"/>
  <c r="N62" i="55"/>
  <c r="R140" i="70"/>
  <c r="U146" i="70"/>
  <c r="Q140" i="70"/>
  <c r="N134" i="70"/>
  <c r="V146" i="70"/>
  <c r="M134" i="70"/>
  <c r="F17" i="70" l="1"/>
  <c r="F18" i="70"/>
  <c r="E18" i="70"/>
  <c r="D17" i="70"/>
  <c r="E17" i="70"/>
  <c r="D16" i="70"/>
  <c r="D19" i="70"/>
  <c r="E16" i="70"/>
  <c r="E19" i="70"/>
  <c r="F16" i="70"/>
  <c r="F19" i="70"/>
  <c r="D18" i="70"/>
  <c r="L135" i="70"/>
  <c r="L138" i="70"/>
  <c r="P142" i="70"/>
  <c r="P144" i="70"/>
  <c r="L136" i="70"/>
  <c r="P143" i="70"/>
  <c r="L139" i="70"/>
  <c r="P145" i="70"/>
  <c r="L140" i="70"/>
  <c r="P146" i="70"/>
  <c r="L142" i="70"/>
  <c r="T134" i="70"/>
  <c r="L143" i="70"/>
  <c r="T135" i="70"/>
  <c r="L144" i="70"/>
  <c r="T136" i="70"/>
  <c r="L145" i="70"/>
  <c r="T138" i="70"/>
  <c r="L146" i="70"/>
  <c r="T139" i="70"/>
  <c r="P134" i="70"/>
  <c r="T140" i="70"/>
  <c r="P135" i="70"/>
  <c r="T142" i="70"/>
  <c r="P136" i="70"/>
  <c r="T143" i="70"/>
  <c r="P138" i="70"/>
  <c r="T144" i="70"/>
  <c r="P139" i="70"/>
  <c r="T145" i="70"/>
  <c r="G65" i="55"/>
  <c r="G64" i="55"/>
  <c r="G63" i="55"/>
  <c r="G62" i="55"/>
  <c r="N138" i="70"/>
  <c r="V143" i="70"/>
  <c r="R139" i="70"/>
  <c r="N143" i="70"/>
  <c r="M136" i="70"/>
  <c r="Q146" i="70"/>
  <c r="U134" i="70"/>
  <c r="R146" i="70"/>
  <c r="M142" i="70"/>
  <c r="U135" i="70"/>
  <c r="N146" i="70"/>
  <c r="U140" i="70"/>
  <c r="Q145" i="70"/>
  <c r="V135" i="70"/>
  <c r="Q135" i="70"/>
  <c r="R145" i="70"/>
  <c r="N140" i="70"/>
  <c r="M143" i="70"/>
  <c r="M145" i="70"/>
  <c r="V139" i="70"/>
  <c r="N144" i="70"/>
  <c r="V142" i="70"/>
  <c r="M138" i="70"/>
  <c r="Q139" i="70"/>
  <c r="V138" i="70"/>
  <c r="M140" i="70"/>
  <c r="Q138" i="70"/>
  <c r="U142" i="70"/>
  <c r="U143" i="70"/>
  <c r="V134" i="70"/>
  <c r="U136" i="70"/>
  <c r="M144" i="70"/>
  <c r="R136" i="70"/>
  <c r="N135" i="70"/>
  <c r="V140" i="70"/>
  <c r="R138" i="70"/>
  <c r="V144" i="70"/>
  <c r="N142" i="70"/>
  <c r="U144" i="70"/>
  <c r="Q142" i="70"/>
  <c r="U139" i="70"/>
  <c r="R134" i="70"/>
  <c r="M135" i="70"/>
  <c r="U138" i="70"/>
  <c r="R135" i="70"/>
  <c r="Q134" i="70"/>
  <c r="N136" i="70"/>
  <c r="N139" i="70"/>
  <c r="R143" i="70"/>
  <c r="Q136" i="70"/>
  <c r="R142" i="70"/>
  <c r="Q144" i="70"/>
  <c r="Q143" i="70"/>
  <c r="R144" i="70"/>
  <c r="V136" i="70"/>
  <c r="M146" i="70"/>
  <c r="V145" i="70"/>
  <c r="N145" i="70"/>
  <c r="M139" i="70"/>
  <c r="U145" i="70"/>
  <c r="P68" i="55" l="1"/>
  <c r="O68" i="55"/>
  <c r="N68" i="55"/>
  <c r="P67" i="55"/>
  <c r="O67" i="55"/>
  <c r="N67" i="55"/>
  <c r="P66" i="55"/>
  <c r="O66" i="55"/>
  <c r="N66" i="55"/>
  <c r="L68" i="55"/>
  <c r="K68" i="55"/>
  <c r="J68" i="55"/>
  <c r="L67" i="55"/>
  <c r="K67" i="55"/>
  <c r="J67" i="55"/>
  <c r="L66" i="55"/>
  <c r="K66" i="55"/>
  <c r="J66" i="55"/>
  <c r="H68" i="55"/>
  <c r="H67" i="55"/>
  <c r="H66" i="55"/>
  <c r="H65" i="55"/>
  <c r="H64" i="55"/>
  <c r="H63" i="55"/>
  <c r="H62" i="55"/>
  <c r="G68" i="55"/>
  <c r="G67" i="55"/>
  <c r="G66" i="55"/>
  <c r="F68" i="55"/>
  <c r="F67" i="55"/>
  <c r="F66" i="55"/>
  <c r="F65" i="55"/>
  <c r="F64" i="55"/>
  <c r="F63" i="55"/>
  <c r="F62" i="55"/>
  <c r="B97" i="55"/>
  <c r="B84" i="55"/>
  <c r="B71" i="55"/>
  <c r="D9" i="55"/>
  <c r="AH8" i="55" l="1"/>
  <c r="D32" i="55" l="1"/>
  <c r="D18" i="55"/>
  <c r="D24" i="55"/>
  <c r="D23" i="55"/>
  <c r="D22" i="55"/>
  <c r="D21" i="55"/>
  <c r="D20" i="55"/>
  <c r="D17" i="55"/>
  <c r="D16" i="55"/>
  <c r="D14" i="55"/>
  <c r="D13" i="55"/>
  <c r="D12" i="55"/>
  <c r="Q23" i="55"/>
  <c r="Q16" i="55"/>
  <c r="Q12" i="55"/>
  <c r="M12" i="55"/>
  <c r="M24" i="55"/>
  <c r="Q21" i="55"/>
  <c r="Q14" i="55"/>
  <c r="Q13" i="55"/>
  <c r="M18" i="55"/>
  <c r="M16" i="55"/>
  <c r="M14" i="55"/>
  <c r="M20" i="55"/>
  <c r="M17" i="55"/>
  <c r="M23" i="55"/>
  <c r="M21" i="55"/>
  <c r="M22" i="55"/>
  <c r="Q20" i="55"/>
  <c r="Q22" i="55"/>
  <c r="Q18" i="55"/>
  <c r="Q17" i="55"/>
  <c r="Q24" i="55"/>
  <c r="M13" i="55"/>
  <c r="B51" i="55" l="1" a="1"/>
  <c r="AH13" i="55" a="1"/>
  <c r="V13" i="55" a="1"/>
  <c r="J57" i="55" l="1"/>
  <c r="O59" i="55"/>
  <c r="N54" i="55"/>
  <c r="O58" i="55"/>
  <c r="N52" i="55"/>
  <c r="P56" i="55"/>
  <c r="J59" i="55"/>
  <c r="O60" i="55"/>
  <c r="P54" i="55"/>
  <c r="O54" i="55"/>
  <c r="K56" i="55"/>
  <c r="N59" i="55"/>
  <c r="P53" i="55"/>
  <c r="N53" i="55"/>
  <c r="K54" i="55"/>
  <c r="L57" i="55"/>
  <c r="N56" i="55"/>
  <c r="K59" i="55"/>
  <c r="N61" i="55"/>
  <c r="J56" i="55"/>
  <c r="P58" i="55"/>
  <c r="O53" i="55"/>
  <c r="P57" i="55"/>
  <c r="J54" i="55"/>
  <c r="J61" i="55"/>
  <c r="J52" i="55"/>
  <c r="L54" i="55"/>
  <c r="O55" i="55"/>
  <c r="N55" i="55"/>
  <c r="J58" i="55"/>
  <c r="P59" i="55"/>
  <c r="K55" i="55"/>
  <c r="L61" i="55"/>
  <c r="J55" i="55"/>
  <c r="N58" i="55"/>
  <c r="P52" i="55"/>
  <c r="O52" i="55"/>
  <c r="O57" i="55"/>
  <c r="J53" i="55"/>
  <c r="L55" i="55"/>
  <c r="L53" i="55"/>
  <c r="L52" i="55"/>
  <c r="L60" i="55"/>
  <c r="L59" i="55"/>
  <c r="L58" i="55"/>
  <c r="K61" i="55"/>
  <c r="K53" i="55"/>
  <c r="N57" i="55"/>
  <c r="O61" i="55"/>
  <c r="L56" i="55"/>
  <c r="K60" i="55"/>
  <c r="K52" i="55"/>
  <c r="P61" i="55"/>
  <c r="O56" i="55"/>
  <c r="J60" i="55"/>
  <c r="P55" i="55"/>
  <c r="P60" i="55"/>
  <c r="K58" i="55"/>
  <c r="N60" i="55"/>
  <c r="K57" i="55"/>
  <c r="G61" i="55"/>
  <c r="G58" i="55"/>
  <c r="G56" i="55"/>
  <c r="G54" i="55"/>
  <c r="G53" i="55"/>
  <c r="G52" i="55"/>
  <c r="H55" i="55"/>
  <c r="G60" i="55"/>
  <c r="G59" i="55"/>
  <c r="G57" i="55"/>
  <c r="G55" i="55"/>
  <c r="D61" i="55"/>
  <c r="H59" i="55"/>
  <c r="F56" i="55"/>
  <c r="H58" i="55"/>
  <c r="F55" i="55"/>
  <c r="H57" i="55"/>
  <c r="F54" i="55"/>
  <c r="H56" i="55"/>
  <c r="F61" i="55"/>
  <c r="F53" i="55"/>
  <c r="F60" i="55"/>
  <c r="F52" i="55"/>
  <c r="H54" i="55"/>
  <c r="F59" i="55"/>
  <c r="F57" i="55"/>
  <c r="H61" i="55"/>
  <c r="H53" i="55"/>
  <c r="F58" i="55"/>
  <c r="H60" i="55"/>
  <c r="H52" i="55"/>
  <c r="C57" i="55"/>
  <c r="C58" i="55"/>
  <c r="C54" i="55"/>
  <c r="C59" i="55"/>
  <c r="C61" i="55"/>
  <c r="C60" i="55"/>
  <c r="C56" i="55"/>
  <c r="C53" i="55"/>
  <c r="C52" i="55"/>
  <c r="C55" i="55"/>
  <c r="B51" i="55"/>
  <c r="D53" i="55"/>
  <c r="D54" i="55"/>
  <c r="D52" i="55"/>
  <c r="AH13" i="55"/>
  <c r="AK23" i="55"/>
  <c r="AJ23" i="55" s="1"/>
  <c r="AX23" i="55" s="1"/>
  <c r="AI23" i="55"/>
  <c r="AK22" i="55"/>
  <c r="AJ22" i="55" s="1"/>
  <c r="AW22" i="55" s="1"/>
  <c r="AK16" i="55"/>
  <c r="AJ16" i="55" s="1"/>
  <c r="AK18" i="55"/>
  <c r="AJ18" i="55" s="1"/>
  <c r="AK21" i="55"/>
  <c r="AJ21" i="55" s="1"/>
  <c r="AV21" i="55" s="1"/>
  <c r="AK17" i="55"/>
  <c r="AJ17" i="55" s="1"/>
  <c r="AK15" i="55"/>
  <c r="AJ15" i="55" s="1"/>
  <c r="AK14" i="55"/>
  <c r="AJ14" i="55" s="1"/>
  <c r="AK20" i="55"/>
  <c r="AJ20" i="55" s="1"/>
  <c r="AU20" i="55" s="1"/>
  <c r="AK19" i="55"/>
  <c r="AJ19" i="55" s="1"/>
  <c r="AI18" i="55"/>
  <c r="AI15" i="55"/>
  <c r="AI22" i="55"/>
  <c r="AI16" i="55"/>
  <c r="AI20" i="55"/>
  <c r="AI17" i="55"/>
  <c r="AI14" i="55"/>
  <c r="AI21" i="55"/>
  <c r="AI19" i="55"/>
  <c r="V13" i="55"/>
  <c r="U13" i="55" s="1"/>
  <c r="U23" i="55"/>
  <c r="U15" i="55"/>
  <c r="U22" i="55"/>
  <c r="U14" i="55"/>
  <c r="U21" i="55"/>
  <c r="U20" i="55"/>
  <c r="U17" i="55"/>
  <c r="U19" i="55"/>
  <c r="U18" i="55"/>
  <c r="U16" i="55"/>
  <c r="F26" i="75" l="1"/>
  <c r="F25" i="75"/>
  <c r="F24" i="75"/>
  <c r="J28" i="75"/>
  <c r="I23" i="75"/>
  <c r="I28" i="75"/>
  <c r="H23" i="75"/>
  <c r="H28" i="75"/>
  <c r="H30" i="75"/>
  <c r="J33" i="75"/>
  <c r="J32" i="75"/>
  <c r="I27" i="75"/>
  <c r="H32" i="75"/>
  <c r="J31" i="75"/>
  <c r="I31" i="75"/>
  <c r="H31" i="75"/>
  <c r="I25" i="75"/>
  <c r="I29" i="75"/>
  <c r="I33" i="75"/>
  <c r="J27" i="75"/>
  <c r="H27" i="75"/>
  <c r="J26" i="75"/>
  <c r="I26" i="75"/>
  <c r="H26" i="75"/>
  <c r="H25" i="75"/>
  <c r="H24" i="75"/>
  <c r="J23" i="75"/>
  <c r="H33" i="75"/>
  <c r="H29" i="75"/>
  <c r="J24" i="75"/>
  <c r="I32" i="75"/>
  <c r="J29" i="75"/>
  <c r="I30" i="75"/>
  <c r="J25" i="75"/>
  <c r="I24" i="75"/>
  <c r="J30" i="75"/>
  <c r="B5" i="70" a="1"/>
  <c r="B5" i="70" s="1"/>
  <c r="I62" i="55" a="1"/>
  <c r="I62" i="55" s="1"/>
  <c r="Q37" i="55"/>
  <c r="Q44" i="55"/>
  <c r="I43" i="55"/>
  <c r="I38" i="55"/>
  <c r="D51" i="55"/>
  <c r="F23" i="75" s="1"/>
  <c r="O51" i="55"/>
  <c r="J51" i="55"/>
  <c r="P51" i="55"/>
  <c r="K51" i="55"/>
  <c r="L51" i="55"/>
  <c r="N51" i="55"/>
  <c r="I39" i="55"/>
  <c r="M44" i="55"/>
  <c r="I44" i="55"/>
  <c r="M43" i="55"/>
  <c r="M42" i="55"/>
  <c r="M64" i="55" a="1"/>
  <c r="M64" i="55" s="1"/>
  <c r="M35" i="55"/>
  <c r="M39" i="55"/>
  <c r="Q39" i="55"/>
  <c r="M38" i="55"/>
  <c r="M34" i="55"/>
  <c r="Q34" i="55"/>
  <c r="M37" i="55"/>
  <c r="G51" i="55"/>
  <c r="H51" i="55"/>
  <c r="F51" i="55"/>
  <c r="C51" i="55"/>
  <c r="E61" i="55"/>
  <c r="E60" i="55"/>
  <c r="G32" i="75" s="1"/>
  <c r="E57" i="55"/>
  <c r="G29" i="75" s="1"/>
  <c r="E54" i="55"/>
  <c r="G26" i="75" s="1"/>
  <c r="E59" i="55"/>
  <c r="G31" i="75" s="1"/>
  <c r="I64" i="55" a="1"/>
  <c r="I64" i="55" s="1"/>
  <c r="E51" i="55"/>
  <c r="G23" i="75" s="1"/>
  <c r="E58" i="55"/>
  <c r="G30" i="75" s="1"/>
  <c r="E52" i="55"/>
  <c r="G24" i="75" s="1"/>
  <c r="E53" i="55"/>
  <c r="G25" i="75" s="1"/>
  <c r="E55" i="55"/>
  <c r="G27" i="75" s="1"/>
  <c r="E56" i="55"/>
  <c r="G28" i="75" s="1"/>
  <c r="AI13" i="55"/>
  <c r="AK13" i="55"/>
  <c r="AJ13" i="55" s="1"/>
  <c r="AN13" i="55" s="1"/>
  <c r="AT19" i="55"/>
  <c r="AP15" i="55"/>
  <c r="AM13" i="55" a="1"/>
  <c r="AM13" i="55" s="1"/>
  <c r="W7" i="55" a="1"/>
  <c r="AF9" i="55" s="1"/>
  <c r="AW9" i="55" s="1"/>
  <c r="AO14" i="55"/>
  <c r="AS18" i="55"/>
  <c r="AQ16" i="55"/>
  <c r="AR17" i="55"/>
  <c r="J38" i="70" l="1"/>
  <c r="H37" i="70"/>
  <c r="E36" i="70"/>
  <c r="I38" i="70"/>
  <c r="F37" i="70"/>
  <c r="D36" i="70"/>
  <c r="I34" i="70"/>
  <c r="H34" i="70"/>
  <c r="J36" i="70"/>
  <c r="H38" i="70"/>
  <c r="E37" i="70"/>
  <c r="J35" i="70"/>
  <c r="F34" i="70"/>
  <c r="H35" i="70"/>
  <c r="F38" i="70"/>
  <c r="D37" i="70"/>
  <c r="I35" i="70"/>
  <c r="E34" i="70"/>
  <c r="E38" i="70"/>
  <c r="D38" i="70"/>
  <c r="I36" i="70"/>
  <c r="F35" i="70"/>
  <c r="D34" i="70"/>
  <c r="H36" i="70"/>
  <c r="E35" i="70"/>
  <c r="J37" i="70"/>
  <c r="I37" i="70"/>
  <c r="F36" i="70"/>
  <c r="D35" i="70"/>
  <c r="J34" i="70"/>
  <c r="G33" i="75"/>
  <c r="I66" i="55" a="1"/>
  <c r="I66" i="55" s="1"/>
  <c r="V14" i="75"/>
  <c r="I13" i="75"/>
  <c r="N11" i="75"/>
  <c r="P9" i="75"/>
  <c r="U7" i="75"/>
  <c r="H6" i="75"/>
  <c r="J4" i="75"/>
  <c r="O11" i="75"/>
  <c r="U14" i="75"/>
  <c r="H13" i="75"/>
  <c r="J11" i="75"/>
  <c r="O9" i="75"/>
  <c r="T7" i="75"/>
  <c r="V5" i="75"/>
  <c r="I4" i="75"/>
  <c r="T14" i="75"/>
  <c r="V12" i="75"/>
  <c r="I11" i="75"/>
  <c r="N9" i="75"/>
  <c r="P7" i="75"/>
  <c r="U5" i="75"/>
  <c r="H4" i="75"/>
  <c r="H8" i="75"/>
  <c r="P14" i="75"/>
  <c r="U12" i="75"/>
  <c r="H11" i="75"/>
  <c r="J9" i="75"/>
  <c r="O7" i="75"/>
  <c r="T5" i="75"/>
  <c r="O4" i="75"/>
  <c r="T9" i="75"/>
  <c r="O14" i="75"/>
  <c r="T12" i="75"/>
  <c r="V10" i="75"/>
  <c r="I9" i="75"/>
  <c r="N7" i="75"/>
  <c r="P5" i="75"/>
  <c r="J13" i="75"/>
  <c r="N14" i="75"/>
  <c r="P12" i="75"/>
  <c r="U10" i="75"/>
  <c r="H9" i="75"/>
  <c r="J7" i="75"/>
  <c r="O5" i="75"/>
  <c r="P11" i="75"/>
  <c r="J14" i="75"/>
  <c r="O12" i="75"/>
  <c r="T10" i="75"/>
  <c r="V8" i="75"/>
  <c r="I7" i="75"/>
  <c r="N5" i="75"/>
  <c r="N13" i="75"/>
  <c r="I14" i="75"/>
  <c r="N12" i="75"/>
  <c r="P10" i="75"/>
  <c r="U8" i="75"/>
  <c r="H7" i="75"/>
  <c r="J5" i="75"/>
  <c r="J6" i="75"/>
  <c r="V7" i="75"/>
  <c r="H14" i="75"/>
  <c r="J12" i="75"/>
  <c r="O10" i="75"/>
  <c r="T8" i="75"/>
  <c r="V6" i="75"/>
  <c r="I5" i="75"/>
  <c r="V13" i="75"/>
  <c r="I12" i="75"/>
  <c r="N10" i="75"/>
  <c r="P8" i="75"/>
  <c r="U6" i="75"/>
  <c r="H5" i="75"/>
  <c r="N4" i="75"/>
  <c r="U13" i="75"/>
  <c r="H12" i="75"/>
  <c r="J10" i="75"/>
  <c r="O8" i="75"/>
  <c r="T6" i="75"/>
  <c r="V4" i="75"/>
  <c r="U9" i="75"/>
  <c r="T13" i="75"/>
  <c r="V11" i="75"/>
  <c r="I10" i="75"/>
  <c r="N8" i="75"/>
  <c r="P6" i="75"/>
  <c r="U4" i="75"/>
  <c r="I6" i="75"/>
  <c r="P13" i="75"/>
  <c r="U11" i="75"/>
  <c r="H10" i="75"/>
  <c r="J8" i="75"/>
  <c r="O6" i="75"/>
  <c r="T4" i="75"/>
  <c r="O13" i="75"/>
  <c r="T11" i="75"/>
  <c r="V9" i="75"/>
  <c r="I8" i="75"/>
  <c r="N6" i="75"/>
  <c r="P4" i="75"/>
  <c r="L14" i="75"/>
  <c r="F4" i="75"/>
  <c r="F6" i="75"/>
  <c r="R7" i="75"/>
  <c r="G7" i="75"/>
  <c r="R5" i="75"/>
  <c r="M7" i="75"/>
  <c r="S13" i="75"/>
  <c r="M10" i="75"/>
  <c r="S14" i="75"/>
  <c r="S7" i="75"/>
  <c r="L4" i="75"/>
  <c r="R11" i="75"/>
  <c r="F13" i="75"/>
  <c r="M12" i="75"/>
  <c r="L13" i="75"/>
  <c r="M6" i="75"/>
  <c r="G14" i="75"/>
  <c r="F12" i="75"/>
  <c r="L10" i="75"/>
  <c r="R8" i="75"/>
  <c r="G8" i="75"/>
  <c r="L11" i="75"/>
  <c r="F7" i="75"/>
  <c r="G6" i="75"/>
  <c r="R9" i="75"/>
  <c r="M4" i="75"/>
  <c r="R13" i="75"/>
  <c r="G11" i="75"/>
  <c r="M14" i="75"/>
  <c r="F14" i="75"/>
  <c r="M13" i="75"/>
  <c r="S9" i="75"/>
  <c r="L12" i="75"/>
  <c r="M11" i="75"/>
  <c r="S4" i="75"/>
  <c r="R12" i="75"/>
  <c r="S5" i="75"/>
  <c r="G12" i="75"/>
  <c r="F11" i="75"/>
  <c r="L7" i="75"/>
  <c r="F9" i="75"/>
  <c r="G4" i="75"/>
  <c r="M5" i="75"/>
  <c r="F5" i="75"/>
  <c r="G10" i="75"/>
  <c r="S6" i="75"/>
  <c r="L6" i="75"/>
  <c r="R14" i="75"/>
  <c r="R4" i="75"/>
  <c r="S10" i="75"/>
  <c r="F8" i="75"/>
  <c r="L5" i="75"/>
  <c r="S11" i="75"/>
  <c r="G9" i="75"/>
  <c r="R6" i="75"/>
  <c r="F10" i="75"/>
  <c r="L8" i="75"/>
  <c r="S8" i="75"/>
  <c r="L9" i="75"/>
  <c r="M8" i="75"/>
  <c r="G13" i="75"/>
  <c r="G5" i="75"/>
  <c r="M9" i="75"/>
  <c r="R10" i="75"/>
  <c r="S12" i="75"/>
  <c r="V41" i="70"/>
  <c r="Q40" i="70"/>
  <c r="L39" i="70"/>
  <c r="V38" i="70"/>
  <c r="Q37" i="70"/>
  <c r="L36" i="70"/>
  <c r="V34" i="70"/>
  <c r="Q32" i="70"/>
  <c r="L31" i="70"/>
  <c r="V27" i="70"/>
  <c r="Q26" i="70"/>
  <c r="T30" i="70"/>
  <c r="V30" i="70"/>
  <c r="U41" i="70"/>
  <c r="P40" i="70"/>
  <c r="J39" i="70"/>
  <c r="U38" i="70"/>
  <c r="P37" i="70"/>
  <c r="U34" i="70"/>
  <c r="P32" i="70"/>
  <c r="J31" i="70"/>
  <c r="U27" i="70"/>
  <c r="P26" i="70"/>
  <c r="M32" i="70"/>
  <c r="M26" i="70"/>
  <c r="L26" i="70"/>
  <c r="M27" i="70"/>
  <c r="J27" i="70"/>
  <c r="P39" i="70"/>
  <c r="T41" i="70"/>
  <c r="N40" i="70"/>
  <c r="I39" i="70"/>
  <c r="T38" i="70"/>
  <c r="N37" i="70"/>
  <c r="T34" i="70"/>
  <c r="N32" i="70"/>
  <c r="I31" i="70"/>
  <c r="T27" i="70"/>
  <c r="N26" i="70"/>
  <c r="R34" i="70"/>
  <c r="Q27" i="70"/>
  <c r="P28" i="70"/>
  <c r="V26" i="70"/>
  <c r="M39" i="70"/>
  <c r="R41" i="70"/>
  <c r="M40" i="70"/>
  <c r="H39" i="70"/>
  <c r="R38" i="70"/>
  <c r="M37" i="70"/>
  <c r="H31" i="70"/>
  <c r="R27" i="70"/>
  <c r="R28" i="70"/>
  <c r="P31" i="70"/>
  <c r="Q41" i="70"/>
  <c r="L40" i="70"/>
  <c r="H30" i="70"/>
  <c r="Q38" i="70"/>
  <c r="L37" i="70"/>
  <c r="V35" i="70"/>
  <c r="Q34" i="70"/>
  <c r="L32" i="70"/>
  <c r="V28" i="70"/>
  <c r="H26" i="70"/>
  <c r="U26" i="70"/>
  <c r="P41" i="70"/>
  <c r="J40" i="70"/>
  <c r="I30" i="70"/>
  <c r="P38" i="70"/>
  <c r="U35" i="70"/>
  <c r="P34" i="70"/>
  <c r="J32" i="70"/>
  <c r="U28" i="70"/>
  <c r="P27" i="70"/>
  <c r="J26" i="70"/>
  <c r="N34" i="70"/>
  <c r="N27" i="70"/>
  <c r="I27" i="70"/>
  <c r="N41" i="70"/>
  <c r="I40" i="70"/>
  <c r="J30" i="70"/>
  <c r="N38" i="70"/>
  <c r="T35" i="70"/>
  <c r="I32" i="70"/>
  <c r="T28" i="70"/>
  <c r="I26" i="70"/>
  <c r="T31" i="70"/>
  <c r="U37" i="70"/>
  <c r="R37" i="70"/>
  <c r="M41" i="70"/>
  <c r="H40" i="70"/>
  <c r="L30" i="70"/>
  <c r="M38" i="70"/>
  <c r="R35" i="70"/>
  <c r="M34" i="70"/>
  <c r="H32" i="70"/>
  <c r="H28" i="70"/>
  <c r="L41" i="70"/>
  <c r="V39" i="70"/>
  <c r="M30" i="70"/>
  <c r="L38" i="70"/>
  <c r="V36" i="70"/>
  <c r="Q35" i="70"/>
  <c r="L34" i="70"/>
  <c r="V31" i="70"/>
  <c r="Q28" i="70"/>
  <c r="L27" i="70"/>
  <c r="U36" i="70"/>
  <c r="N28" i="70"/>
  <c r="P36" i="70"/>
  <c r="R32" i="70"/>
  <c r="J41" i="70"/>
  <c r="U39" i="70"/>
  <c r="N30" i="70"/>
  <c r="P35" i="70"/>
  <c r="U31" i="70"/>
  <c r="U32" i="70"/>
  <c r="M36" i="70"/>
  <c r="I41" i="70"/>
  <c r="T39" i="70"/>
  <c r="P30" i="70"/>
  <c r="T36" i="70"/>
  <c r="N35" i="70"/>
  <c r="U40" i="70"/>
  <c r="M31" i="70"/>
  <c r="H41" i="70"/>
  <c r="R39" i="70"/>
  <c r="Q30" i="70"/>
  <c r="R36" i="70"/>
  <c r="M35" i="70"/>
  <c r="R31" i="70"/>
  <c r="M28" i="70"/>
  <c r="H27" i="70"/>
  <c r="J28" i="70"/>
  <c r="V40" i="70"/>
  <c r="Q39" i="70"/>
  <c r="R30" i="70"/>
  <c r="V37" i="70"/>
  <c r="Q36" i="70"/>
  <c r="L35" i="70"/>
  <c r="V32" i="70"/>
  <c r="Q31" i="70"/>
  <c r="L28" i="70"/>
  <c r="R40" i="70"/>
  <c r="T40" i="70"/>
  <c r="N39" i="70"/>
  <c r="U30" i="70"/>
  <c r="T37" i="70"/>
  <c r="N36" i="70"/>
  <c r="T32" i="70"/>
  <c r="N31" i="70"/>
  <c r="I28" i="70"/>
  <c r="T26" i="70"/>
  <c r="R26" i="70"/>
  <c r="F30" i="70"/>
  <c r="D39" i="70"/>
  <c r="E30" i="70"/>
  <c r="F32" i="70"/>
  <c r="D40" i="70"/>
  <c r="F41" i="70"/>
  <c r="F31" i="70"/>
  <c r="E40" i="70"/>
  <c r="D31" i="70"/>
  <c r="E27" i="70"/>
  <c r="D32" i="70"/>
  <c r="E39" i="70"/>
  <c r="F27" i="70"/>
  <c r="E41" i="70"/>
  <c r="F40" i="70"/>
  <c r="E28" i="70"/>
  <c r="E31" i="70"/>
  <c r="F28" i="70"/>
  <c r="F26" i="70"/>
  <c r="E32" i="70"/>
  <c r="D28" i="70"/>
  <c r="F39" i="70"/>
  <c r="E26" i="70"/>
  <c r="D26" i="70"/>
  <c r="D27" i="70"/>
  <c r="D41" i="70"/>
  <c r="D30" i="70"/>
  <c r="E41" i="55"/>
  <c r="E44" i="55"/>
  <c r="E37" i="55"/>
  <c r="E34" i="55"/>
  <c r="E39" i="55"/>
  <c r="D62" i="55" a="1"/>
  <c r="D62" i="55" s="1"/>
  <c r="E33" i="55"/>
  <c r="Q43" i="55"/>
  <c r="I45" i="55"/>
  <c r="M41" i="55"/>
  <c r="I63" i="55" a="1"/>
  <c r="I63" i="55" s="1"/>
  <c r="M45" i="55"/>
  <c r="I37" i="55"/>
  <c r="I41" i="55"/>
  <c r="I35" i="55"/>
  <c r="M63" i="55" a="1"/>
  <c r="M63" i="55" s="1"/>
  <c r="I34" i="55"/>
  <c r="Q41" i="55"/>
  <c r="Q45" i="55"/>
  <c r="I42" i="55"/>
  <c r="Q38" i="55"/>
  <c r="E43" i="55"/>
  <c r="E35" i="55"/>
  <c r="E38" i="55"/>
  <c r="E42" i="55"/>
  <c r="E45" i="55"/>
  <c r="E65" i="55"/>
  <c r="E66" i="55" a="1"/>
  <c r="E66" i="55" s="1"/>
  <c r="E46" i="55" s="1"/>
  <c r="E64" i="55" a="1"/>
  <c r="E64" i="55" s="1"/>
  <c r="E63" i="55" a="1"/>
  <c r="E63" i="55" s="1"/>
  <c r="E62" i="55" a="1"/>
  <c r="E62" i="55" s="1"/>
  <c r="AG8" i="55"/>
  <c r="AG9" i="55"/>
  <c r="AX9" i="55" s="1"/>
  <c r="AA8" i="55"/>
  <c r="Y9" i="55"/>
  <c r="AP9" i="55" s="1"/>
  <c r="Z8" i="55"/>
  <c r="AE8" i="55"/>
  <c r="W7" i="55"/>
  <c r="W8" i="55" s="1"/>
  <c r="AA9" i="55"/>
  <c r="AR9" i="55" s="1"/>
  <c r="AD8" i="55"/>
  <c r="AC8" i="55"/>
  <c r="AC9" i="55"/>
  <c r="AT9" i="55" s="1"/>
  <c r="Y8" i="55"/>
  <c r="AE9" i="55"/>
  <c r="AV9" i="55" s="1"/>
  <c r="AD9" i="55"/>
  <c r="AU9" i="55" s="1"/>
  <c r="AB8" i="55"/>
  <c r="Z9" i="55"/>
  <c r="AQ9" i="55" s="1"/>
  <c r="X9" i="55"/>
  <c r="AO9" i="55" s="1"/>
  <c r="AF8" i="55"/>
  <c r="AB9" i="55"/>
  <c r="AS9" i="55" s="1"/>
  <c r="X8" i="55"/>
  <c r="W13" i="55"/>
  <c r="AE21" i="55"/>
  <c r="X19" i="55"/>
  <c r="Y16" i="55"/>
  <c r="Y17" i="55"/>
  <c r="W20" i="55"/>
  <c r="W22" i="55"/>
  <c r="AF23" i="55"/>
  <c r="AB22" i="55"/>
  <c r="Z20" i="55"/>
  <c r="X18" i="55"/>
  <c r="X23" i="55"/>
  <c r="Y21" i="55"/>
  <c r="W21" i="55"/>
  <c r="AC22" i="55"/>
  <c r="AE22" i="55"/>
  <c r="AA19" i="55"/>
  <c r="AA22" i="55"/>
  <c r="AC20" i="55"/>
  <c r="AB18" i="55"/>
  <c r="Z17" i="55"/>
  <c r="W23" i="55"/>
  <c r="AB19" i="55"/>
  <c r="Z21" i="55"/>
  <c r="X22" i="55"/>
  <c r="X16" i="55"/>
  <c r="AA17" i="55"/>
  <c r="AA18" i="55"/>
  <c r="AA21" i="55"/>
  <c r="Z22" i="55"/>
  <c r="Y22" i="55"/>
  <c r="AC23" i="55"/>
  <c r="Z18" i="55"/>
  <c r="Y19" i="55"/>
  <c r="AG23" i="55"/>
  <c r="X15" i="55"/>
  <c r="X17" i="55"/>
  <c r="AB23" i="55"/>
  <c r="Z23" i="55"/>
  <c r="W16" i="55"/>
  <c r="AD22" i="55"/>
  <c r="Y15" i="55"/>
  <c r="AD21" i="55"/>
  <c r="AA20" i="55"/>
  <c r="W17" i="55"/>
  <c r="AA23" i="55"/>
  <c r="AC21" i="55"/>
  <c r="Z19" i="55"/>
  <c r="AC19" i="55"/>
  <c r="AB20" i="55"/>
  <c r="W14" i="55"/>
  <c r="X21" i="55"/>
  <c r="Y23" i="55"/>
  <c r="AD23" i="55"/>
  <c r="X14" i="55"/>
  <c r="AD20" i="55"/>
  <c r="X20" i="55"/>
  <c r="W18" i="55"/>
  <c r="AE23" i="55"/>
  <c r="W19" i="55"/>
  <c r="AF22" i="55"/>
  <c r="AB21" i="55"/>
  <c r="W15" i="55"/>
  <c r="Y18" i="55"/>
  <c r="Z16" i="55"/>
  <c r="Y20" i="55"/>
  <c r="I34" i="75" l="1"/>
  <c r="H34" i="75"/>
  <c r="J34" i="75"/>
  <c r="G34" i="75"/>
  <c r="T125" i="70"/>
  <c r="D69" i="70"/>
  <c r="R25" i="70"/>
  <c r="Q121" i="70" s="1"/>
  <c r="L15" i="75"/>
  <c r="I15" i="75"/>
  <c r="G15" i="75"/>
  <c r="M15" i="75"/>
  <c r="O15" i="75"/>
  <c r="T15" i="75"/>
  <c r="V15" i="75"/>
  <c r="N15" i="75"/>
  <c r="S15" i="75"/>
  <c r="J15" i="75"/>
  <c r="U15" i="75"/>
  <c r="H15" i="75"/>
  <c r="R15" i="75"/>
  <c r="F15" i="75"/>
  <c r="P15" i="75"/>
  <c r="T97" i="70"/>
  <c r="L97" i="70"/>
  <c r="L125" i="70"/>
  <c r="P97" i="70"/>
  <c r="M29" i="70"/>
  <c r="M94" i="70" s="1"/>
  <c r="P125" i="70"/>
  <c r="H97" i="70"/>
  <c r="H125" i="70"/>
  <c r="D125" i="70"/>
  <c r="D97" i="70"/>
  <c r="P69" i="70"/>
  <c r="L69" i="70"/>
  <c r="H69" i="70"/>
  <c r="T69" i="70"/>
  <c r="U29" i="70"/>
  <c r="U94" i="70" s="1"/>
  <c r="N33" i="70"/>
  <c r="M123" i="70" s="1"/>
  <c r="L33" i="70"/>
  <c r="M67" i="70" s="1"/>
  <c r="H29" i="70"/>
  <c r="I66" i="70" s="1"/>
  <c r="V25" i="70"/>
  <c r="U121" i="70" s="1"/>
  <c r="Q33" i="70"/>
  <c r="Q95" i="70" s="1"/>
  <c r="E29" i="70"/>
  <c r="E94" i="70" s="1"/>
  <c r="E25" i="70"/>
  <c r="E93" i="70" s="1"/>
  <c r="L29" i="70"/>
  <c r="M66" i="70" s="1"/>
  <c r="H33" i="70"/>
  <c r="I67" i="70" s="1"/>
  <c r="P29" i="70"/>
  <c r="Q66" i="70" s="1"/>
  <c r="V29" i="70"/>
  <c r="U122" i="70" s="1"/>
  <c r="N29" i="70"/>
  <c r="M122" i="70" s="1"/>
  <c r="J25" i="70"/>
  <c r="I121" i="70" s="1"/>
  <c r="I25" i="70"/>
  <c r="I93" i="70" s="1"/>
  <c r="T29" i="70"/>
  <c r="U66" i="70" s="1"/>
  <c r="D25" i="70"/>
  <c r="E65" i="70" s="1"/>
  <c r="F33" i="70"/>
  <c r="E123" i="70" s="1"/>
  <c r="L25" i="70"/>
  <c r="M65" i="70" s="1"/>
  <c r="I33" i="70"/>
  <c r="I95" i="70" s="1"/>
  <c r="Q29" i="70"/>
  <c r="Q94" i="70" s="1"/>
  <c r="P33" i="70"/>
  <c r="Q67" i="70" s="1"/>
  <c r="R33" i="70"/>
  <c r="Q123" i="70" s="1"/>
  <c r="M25" i="70"/>
  <c r="M93" i="70" s="1"/>
  <c r="Q25" i="70"/>
  <c r="Q93" i="70" s="1"/>
  <c r="F29" i="70"/>
  <c r="E122" i="70" s="1"/>
  <c r="N25" i="70"/>
  <c r="M121" i="70" s="1"/>
  <c r="E33" i="70"/>
  <c r="E95" i="70" s="1"/>
  <c r="P25" i="70"/>
  <c r="Q65" i="70" s="1"/>
  <c r="T25" i="70"/>
  <c r="U65" i="70" s="1"/>
  <c r="M33" i="70"/>
  <c r="M95" i="70" s="1"/>
  <c r="J29" i="70"/>
  <c r="I122" i="70" s="1"/>
  <c r="I29" i="70"/>
  <c r="I94" i="70" s="1"/>
  <c r="V33" i="70"/>
  <c r="U123" i="70" s="1"/>
  <c r="R29" i="70"/>
  <c r="Q122" i="70" s="1"/>
  <c r="T33" i="70"/>
  <c r="U67" i="70" s="1"/>
  <c r="J33" i="70"/>
  <c r="I123" i="70" s="1"/>
  <c r="U33" i="70"/>
  <c r="U95" i="70" s="1"/>
  <c r="F25" i="70"/>
  <c r="E121" i="70" s="1"/>
  <c r="D33" i="70"/>
  <c r="E67" i="70" s="1"/>
  <c r="U25" i="70"/>
  <c r="U93" i="70" s="1"/>
  <c r="H25" i="70"/>
  <c r="I65" i="70" s="1"/>
  <c r="D29" i="70"/>
  <c r="E66" i="70" s="1"/>
  <c r="E32" i="55"/>
  <c r="I46" i="55"/>
  <c r="M66" i="55" a="1"/>
  <c r="M66" i="55" s="1"/>
  <c r="M46" i="55" s="1"/>
  <c r="Q36" i="55"/>
  <c r="Q63" i="55" a="1"/>
  <c r="Q63" i="55" s="1"/>
  <c r="Q65" i="55"/>
  <c r="Q33" i="55"/>
  <c r="Q62" i="55" a="1"/>
  <c r="Q62" i="55" s="1"/>
  <c r="M65" i="55"/>
  <c r="M62" i="55" a="1"/>
  <c r="M62" i="55" s="1"/>
  <c r="M33" i="55"/>
  <c r="M32" i="55" s="1"/>
  <c r="I65" i="55"/>
  <c r="I33" i="55"/>
  <c r="AW23" i="55"/>
  <c r="AX22" i="55" s="1"/>
  <c r="AV23" i="55"/>
  <c r="AX21" i="55" s="1"/>
  <c r="AU22" i="55"/>
  <c r="AW20" i="55" s="1"/>
  <c r="AU23" i="55"/>
  <c r="AX20" i="55" s="1"/>
  <c r="AU21" i="55"/>
  <c r="AV20" i="55" s="1"/>
  <c r="AT22" i="55"/>
  <c r="AW19" i="55" s="1"/>
  <c r="AT23" i="55"/>
  <c r="AX19" i="55" s="1"/>
  <c r="AT21" i="55"/>
  <c r="AV19" i="55" s="1"/>
  <c r="AT20" i="55"/>
  <c r="AU19" i="55" s="1"/>
  <c r="AS23" i="55"/>
  <c r="AX18" i="55" s="1"/>
  <c r="AS21" i="55"/>
  <c r="AV18" i="55" s="1"/>
  <c r="AS20" i="55"/>
  <c r="AU18" i="55" s="1"/>
  <c r="AS22" i="55"/>
  <c r="AW18" i="55" s="1"/>
  <c r="AS19" i="55"/>
  <c r="AT18" i="55" s="1"/>
  <c r="AR19" i="55"/>
  <c r="AT17" i="55" s="1"/>
  <c r="AR20" i="55"/>
  <c r="AU17" i="55" s="1"/>
  <c r="AR22" i="55"/>
  <c r="AW17" i="55" s="1"/>
  <c r="AR21" i="55"/>
  <c r="AV17" i="55" s="1"/>
  <c r="AR23" i="55"/>
  <c r="AX17" i="55" s="1"/>
  <c r="AR18" i="55"/>
  <c r="AS17" i="55" s="1"/>
  <c r="AQ19" i="55"/>
  <c r="AT16" i="55" s="1"/>
  <c r="AQ18" i="55"/>
  <c r="AS16" i="55" s="1"/>
  <c r="AQ22" i="55"/>
  <c r="AW16" i="55" s="1"/>
  <c r="AQ23" i="55"/>
  <c r="AX16" i="55" s="1"/>
  <c r="AQ21" i="55"/>
  <c r="AV16" i="55" s="1"/>
  <c r="AQ20" i="55"/>
  <c r="AU16" i="55" s="1"/>
  <c r="AQ17" i="55"/>
  <c r="AR16" i="55" s="1"/>
  <c r="AP19" i="55"/>
  <c r="AT15" i="55" s="1"/>
  <c r="AP18" i="55"/>
  <c r="AS15" i="55" s="1"/>
  <c r="AP21" i="55"/>
  <c r="AV15" i="55" s="1"/>
  <c r="AP23" i="55"/>
  <c r="AX15" i="55" s="1"/>
  <c r="AP22" i="55"/>
  <c r="AW15" i="55" s="1"/>
  <c r="AP20" i="55"/>
  <c r="AU15" i="55" s="1"/>
  <c r="AP17" i="55"/>
  <c r="AR15" i="55" s="1"/>
  <c r="AP16" i="55"/>
  <c r="AQ15" i="55" s="1"/>
  <c r="AO17" i="55"/>
  <c r="AR14" i="55" s="1"/>
  <c r="AO22" i="55"/>
  <c r="AW14" i="55" s="1"/>
  <c r="AO21" i="55"/>
  <c r="AV14" i="55" s="1"/>
  <c r="AO19" i="55"/>
  <c r="AT14" i="55" s="1"/>
  <c r="AO23" i="55"/>
  <c r="AX14" i="55" s="1"/>
  <c r="AO16" i="55"/>
  <c r="AQ14" i="55" s="1"/>
  <c r="AO18" i="55"/>
  <c r="AS14" i="55" s="1"/>
  <c r="AO20" i="55"/>
  <c r="AU14" i="55" s="1"/>
  <c r="AO15" i="55"/>
  <c r="AP14" i="55" s="1"/>
  <c r="AN19" i="55"/>
  <c r="AT13" i="55" s="1"/>
  <c r="AN23" i="55"/>
  <c r="AX13" i="55" s="1"/>
  <c r="AN20" i="55"/>
  <c r="AU13" i="55" s="1"/>
  <c r="AN18" i="55"/>
  <c r="AS13" i="55" s="1"/>
  <c r="AN16" i="55"/>
  <c r="AQ13" i="55" s="1"/>
  <c r="AN21" i="55"/>
  <c r="AV13" i="55" s="1"/>
  <c r="AN15" i="55"/>
  <c r="AP13" i="55" s="1"/>
  <c r="AN17" i="55"/>
  <c r="AR13" i="55" s="1"/>
  <c r="AN22" i="55"/>
  <c r="AW13" i="55" s="1"/>
  <c r="AN14" i="55"/>
  <c r="AV22" i="55"/>
  <c r="AW21" i="55" s="1"/>
  <c r="W9" i="55"/>
  <c r="AN9" i="55" s="1"/>
  <c r="I32" i="55" l="1"/>
  <c r="Q42" i="55"/>
  <c r="Q40" i="55" s="1"/>
  <c r="Q64" i="55" a="1"/>
  <c r="Q64" i="55" s="1"/>
  <c r="Q35" i="55"/>
  <c r="Q32" i="55" s="1"/>
  <c r="Q66" i="55" a="1"/>
  <c r="Q66" i="55" s="1"/>
  <c r="Q46" i="55" s="1"/>
  <c r="AO13" i="55"/>
  <c r="Q67" i="55" s="1" a="1"/>
  <c r="Q67" i="55" s="1"/>
  <c r="D36" i="55"/>
  <c r="M36" i="55"/>
  <c r="I67" i="55" l="1" a="1"/>
  <c r="I67" i="55" s="1"/>
  <c r="E67" i="55" a="1"/>
  <c r="E67" i="55" s="1"/>
  <c r="BB13" i="55" a="1"/>
  <c r="BB13" i="55" s="1"/>
  <c r="M67" i="55" a="1"/>
  <c r="M67" i="55" s="1"/>
  <c r="E36" i="55"/>
  <c r="I36" i="55"/>
  <c r="D57" i="55"/>
  <c r="F29" i="75" s="1"/>
  <c r="D58" i="55"/>
  <c r="F30" i="75" s="1"/>
  <c r="D59" i="55"/>
  <c r="F31" i="75" s="1"/>
  <c r="D60" i="55"/>
  <c r="F32" i="75" l="1"/>
  <c r="F33" i="75"/>
  <c r="I68" i="55"/>
  <c r="I48" i="55" s="1"/>
  <c r="M68" i="55"/>
  <c r="M48" i="55" s="1"/>
  <c r="M47" i="55"/>
  <c r="Q68" i="55"/>
  <c r="Q48" i="55" s="1"/>
  <c r="Q47" i="55"/>
  <c r="E68" i="55"/>
  <c r="E48" i="55" s="1"/>
  <c r="E47" i="55"/>
  <c r="M40" i="55"/>
  <c r="I47" i="55" l="1"/>
  <c r="E40" i="55"/>
  <c r="I40" i="55"/>
  <c r="D55" i="55"/>
  <c r="F27" i="75" s="1"/>
  <c r="D65" i="55"/>
  <c r="D40" i="55"/>
  <c r="D56" i="55"/>
  <c r="F28" i="75" s="1"/>
  <c r="D64" i="55" a="1"/>
  <c r="D64" i="55" s="1"/>
  <c r="F34" i="75" l="1"/>
  <c r="D67" i="55" a="1"/>
  <c r="D67" i="55" s="1"/>
  <c r="D47" i="55" s="1"/>
  <c r="D66" i="55" a="1"/>
  <c r="D66" i="55" s="1"/>
  <c r="D46" i="55" s="1"/>
  <c r="D63" i="55" a="1"/>
  <c r="D63" i="55" s="1"/>
  <c r="D68" i="55" l="1"/>
  <c r="D48" i="5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F57BD1-5182-4387-853D-7A31CE910072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7DEF03FC-2CF6-4640-BB75-F97281D1FFE4}" keepAlive="1" name="Query - Page001 (2)" description="Connection to the 'Page001 (2)' query in the workbook." type="5" refreshedVersion="0" background="1" saveData="1">
    <dbPr connection="Provider=Microsoft.Mashup.OleDb.1;Data Source=$Workbook$;Location=&quot;Page001 (2)&quot;;Extended Properties=&quot;&quot;" command="SELECT * FROM [Page001 (2)]"/>
  </connection>
  <connection id="3" xr16:uid="{686A7F89-9AE3-4FC8-A8D9-3FDAAD03628F}" keepAlive="1" name="Query - Table001 (Page 1)" description="Connection to the 'Table001 (Page 1)' query in the workbook." type="5" refreshedVersion="0" background="1" saveData="1">
    <dbPr connection="Provider=Microsoft.Mashup.OleDb.1;Data Source=$Workbook$;Location=&quot;Table001 (Page 1)&quot;;Extended Properties=&quot;&quot;" command="SELECT * FROM [Table001 (Page 1)]"/>
  </connection>
  <connection id="4" xr16:uid="{B9F069C8-2F40-4F16-8297-E447597BB88E}" keepAlive="1" name="Query - Table001 (Page 1) (2)" description="Connection to the 'Table001 (Page 1) (2)' query in the workbook." type="5" refreshedVersion="0" background="1" saveData="1">
    <dbPr connection="Provider=Microsoft.Mashup.OleDb.1;Data Source=$Workbook$;Location=&quot;Table001 (Page 1) (2)&quot;;Extended Properties=&quot;&quot;" command="SELECT * FROM [Table001 (Page 1) (2)]"/>
  </connection>
  <connection id="5" xr16:uid="{C15A64BA-5B5B-4B40-8B5B-911E70FCBDDD}" keepAlive="1" name="Query - Table001 (Page 9)" description="Connection to the 'Table001 (Page 9)' query in the workbook." type="5" refreshedVersion="0" background="1" saveData="1">
    <dbPr connection="Provider=Microsoft.Mashup.OleDb.1;Data Source=$Workbook$;Location=&quot;Table001 (Page 9)&quot;;Extended Properties=&quot;&quot;" command="SELECT * FROM [Table001 (Page 9)]"/>
  </connection>
  <connection id="6" xr16:uid="{63F890FC-6979-4FDB-BD65-7CB8647F1B77}" keepAlive="1" name="Query - Table002 (Page 2)" description="Connection to the 'Table002 (Page 2)' query in the workbook." type="5" refreshedVersion="0" background="1" saveData="1">
    <dbPr connection="Provider=Microsoft.Mashup.OleDb.1;Data Source=$Workbook$;Location=&quot;Table002 (Page 2)&quot;;Extended Properties=&quot;&quot;" command="SELECT * FROM [Table002 (Page 2)]"/>
  </connection>
  <connection id="7" xr16:uid="{FFE69291-1FAF-4726-9139-E5442EFAA224}" keepAlive="1" name="Query - Table003 (Page 3)" description="Connection to the 'Table003 (Page 3)' query in the workbook." type="5" refreshedVersion="0" background="1" saveData="1">
    <dbPr connection="Provider=Microsoft.Mashup.OleDb.1;Data Source=$Workbook$;Location=&quot;Table003 (Page 3)&quot;;Extended Properties=&quot;&quot;" command="SELECT * FROM [Table003 (Page 3)]"/>
  </connection>
  <connection id="8" xr16:uid="{4BBF9FFA-E557-4E2A-9878-9733D06D7D5E}" keepAlive="1" name="Query - Table004 (Page 4)" description="Connection to the 'Table004 (Page 4)' query in the workbook." type="5" refreshedVersion="0" background="1" saveData="1">
    <dbPr connection="Provider=Microsoft.Mashup.OleDb.1;Data Source=$Workbook$;Location=&quot;Table004 (Page 4)&quot;;Extended Properties=&quot;&quot;" command="SELECT * FROM [Table004 (Page 4)]"/>
  </connection>
  <connection id="9" xr16:uid="{9551927E-63BE-4098-84CC-832CA7239B48}" keepAlive="1" name="Query - Table032 (Page 15)" description="Connection to the 'Table032 (Page 15)' query in the workbook." type="5" refreshedVersion="0" background="1" saveData="1">
    <dbPr connection="Provider=Microsoft.Mashup.OleDb.1;Data Source=$Workbook$;Location=&quot;Table032 (Page 15)&quot;;Extended Properties=&quot;&quot;" command="SELECT * FROM [Table032 (Page 15)]"/>
  </connection>
  <connection id="10" xr16:uid="{C95B1D1E-2895-464A-AEB3-CBADDCF96456}" keepAlive="1" name="Query - Table032 (Page 15) (2)" description="Connection to the 'Table032 (Page 15) (2)' query in the workbook." type="5" refreshedVersion="7" background="1" saveData="1">
    <dbPr connection="Provider=Microsoft.Mashup.OleDb.1;Data Source=$Workbook$;Location=&quot;Table032 (Page 15) (2)&quot;;Extended Properties=&quot;&quot;" command="SELECT * FROM [Table032 (Page 15) (2)]"/>
  </connection>
  <connection id="11" xr16:uid="{8BC1C53B-6D0C-4778-A9EC-FD018AA421F7}" keepAlive="1" name="Query - Table033 (Page 16)" description="Connection to the 'Table033 (Page 16)' query in the workbook." type="5" refreshedVersion="0" background="1" saveData="1">
    <dbPr connection="Provider=Microsoft.Mashup.OleDb.1;Data Source=$Workbook$;Location=&quot;Table033 (Page 16)&quot;;Extended Properties=&quot;&quot;" command="SELECT * FROM [Table033 (Page 16)]"/>
  </connection>
  <connection id="12" xr16:uid="{E9B9E97D-C00F-47B4-A2D5-5EAF213C7B54}" keepAlive="1" name="Query - Table033 (Page 16) (2)" description="Connection to the 'Table033 (Page 16) (2)' query in the workbook." type="5" refreshedVersion="7" background="1" saveData="1">
    <dbPr connection="Provider=Microsoft.Mashup.OleDb.1;Data Source=$Workbook$;Location=&quot;Table033 (Page 16) (2)&quot;;Extended Properties=&quot;&quot;" command="SELECT * FROM [Table033 (Page 16) (2)]"/>
  </connection>
  <connection id="13" xr16:uid="{93A66109-EF29-4715-BABA-8A8919F49F3F}" keepAlive="1" name="Query - Table046 (Page 9)" description="Connection to the 'Table046 (Page 9)' query in the workbook." type="5" refreshedVersion="0" background="1" saveData="1">
    <dbPr connection="Provider=Microsoft.Mashup.OleDb.1;Data Source=$Workbook$;Location=&quot;Table046 (Page 9)&quot;;Extended Properties=&quot;&quot;" command="SELECT * FROM [Table046 (Page 9)]"/>
  </connection>
  <connection id="14" xr16:uid="{DFF38399-F49F-4FB0-BFD8-960613CAD1D8}" keepAlive="1" name="Query - Table047 (Page 10)" description="Connection to the 'Table047 (Page 10)' query in the workbook." type="5" refreshedVersion="0" background="1" saveData="1">
    <dbPr connection="Provider=Microsoft.Mashup.OleDb.1;Data Source=$Workbook$;Location=&quot;Table047 (Page 10)&quot;;Extended Properties=&quot;&quot;" command="SELECT * FROM [Table047 (Page 10)]"/>
  </connection>
  <connection id="15" xr16:uid="{8C5F004B-2C8B-4032-B103-1D2F79D3A722}" keepAlive="1" name="Query - Table048 (Page 11)" description="Connection to the 'Table048 (Page 11)' query in the workbook." type="5" refreshedVersion="0" background="1" saveData="1">
    <dbPr connection="Provider=Microsoft.Mashup.OleDb.1;Data Source=$Workbook$;Location=&quot;Table048 (Page 11)&quot;;Extended Properties=&quot;&quot;" command="SELECT * FROM [Table048 (Page 11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<sst xmlns="http://schemas.openxmlformats.org/spreadsheetml/2006/main" count="2276" uniqueCount="388">
  <si>
    <t>Master Average</t>
  </si>
  <si>
    <t xml:space="preserve"> Custom Average      </t>
  </si>
  <si>
    <t>Solver Data</t>
  </si>
  <si>
    <t>Capital Appreciation</t>
  </si>
  <si>
    <t>Capital
Income</t>
  </si>
  <si>
    <t>Capital Preservation</t>
  </si>
  <si>
    <t>Total Equity</t>
  </si>
  <si>
    <t>Total Fixed Income</t>
  </si>
  <si>
    <t>Total Alternative</t>
  </si>
  <si>
    <t>Total Weight (%)</t>
  </si>
  <si>
    <t>Return:</t>
  </si>
  <si>
    <t>Risk (Std. Dev):</t>
  </si>
  <si>
    <t>Return/Risk:</t>
  </si>
  <si>
    <t>Equity</t>
  </si>
  <si>
    <t xml:space="preserve">U.S. Large Cap </t>
  </si>
  <si>
    <t xml:space="preserve">Non-U.S. Developed </t>
  </si>
  <si>
    <t xml:space="preserve">Emerging Markets </t>
  </si>
  <si>
    <t>Fixed Income</t>
  </si>
  <si>
    <t>U.S. Aggregate Bonds</t>
  </si>
  <si>
    <t>U.S. High Yield</t>
  </si>
  <si>
    <t>Emerging Mkt Bonds</t>
  </si>
  <si>
    <t>Alternatives</t>
  </si>
  <si>
    <t>Private Equity</t>
  </si>
  <si>
    <t>Private Credit</t>
  </si>
  <si>
    <t>Private Real Estate</t>
  </si>
  <si>
    <t>Infrastructure</t>
  </si>
  <si>
    <t>Multi-Strategy (HF)</t>
  </si>
  <si>
    <r>
      <t xml:space="preserve">
</t>
    </r>
    <r>
      <rPr>
        <b/>
        <sz val="22"/>
        <color theme="3"/>
        <rFont val="Calibri"/>
        <family val="2"/>
        <scheme val="minor"/>
      </rPr>
      <t>Capital Appreciation</t>
    </r>
  </si>
  <si>
    <t>■</t>
  </si>
  <si>
    <r>
      <t xml:space="preserve">
</t>
    </r>
    <r>
      <rPr>
        <b/>
        <sz val="22"/>
        <color theme="1"/>
        <rFont val="Calibri"/>
        <family val="2"/>
        <scheme val="minor"/>
      </rPr>
      <t>Capital
Income</t>
    </r>
  </si>
  <si>
    <r>
      <t xml:space="preserve">
</t>
    </r>
    <r>
      <rPr>
        <b/>
        <sz val="22"/>
        <color theme="1"/>
        <rFont val="Calibri"/>
        <family val="2"/>
        <scheme val="minor"/>
      </rPr>
      <t>Capital Preservation</t>
    </r>
  </si>
  <si>
    <t>Summary of CMAs Forward-Looking Estimates</t>
  </si>
  <si>
    <t>Manual Overrides</t>
  </si>
  <si>
    <t>Expected Return (%)</t>
  </si>
  <si>
    <t>Annualized Risk (%)</t>
  </si>
  <si>
    <t>Notes:</t>
  </si>
  <si>
    <t>CMA Stated Name</t>
  </si>
  <si>
    <t>Summary of Constraints Applied</t>
  </si>
  <si>
    <t>Constraint</t>
  </si>
  <si>
    <t>Relation</t>
  </si>
  <si>
    <t>Value (%)</t>
  </si>
  <si>
    <t>=</t>
  </si>
  <si>
    <t>Emerging Markets Equity Exposure</t>
  </si>
  <si>
    <t>&lt;</t>
  </si>
  <si>
    <t>Total Alternative Exposure</t>
  </si>
  <si>
    <t>Private Credit Exposure</t>
  </si>
  <si>
    <t>Total Equity Exposure</t>
  </si>
  <si>
    <t>Total Fixed Income Exposure</t>
  </si>
  <si>
    <t>Emerging Mkt Bonds Exposure</t>
  </si>
  <si>
    <t>Non-U.S. Developed Equity Exposure</t>
  </si>
  <si>
    <t>Private Real Estate Exposure</t>
  </si>
  <si>
    <t>Capital Income - Moderate</t>
  </si>
  <si>
    <t>Capital Income</t>
  </si>
  <si>
    <t>Capital Preservation - Less Aggressive</t>
  </si>
  <si>
    <t>Asset Class</t>
  </si>
  <si>
    <t>Subasset Class Abbreviation</t>
  </si>
  <si>
    <t>Subasset Class
Standardized Name</t>
  </si>
  <si>
    <t>Custom Average</t>
  </si>
  <si>
    <t>Cliffwater</t>
  </si>
  <si>
    <t>Envestnet</t>
  </si>
  <si>
    <t>JPMorgan</t>
  </si>
  <si>
    <t>US Large</t>
  </si>
  <si>
    <t>Non-US Dev.</t>
  </si>
  <si>
    <t>EM Equity</t>
  </si>
  <si>
    <t>US Agg.</t>
  </si>
  <si>
    <t>US HY</t>
  </si>
  <si>
    <t>EM Bonds</t>
  </si>
  <si>
    <t>Alts.</t>
  </si>
  <si>
    <t>PE</t>
  </si>
  <si>
    <t>Credit</t>
  </si>
  <si>
    <t>RE</t>
  </si>
  <si>
    <t>Infra.</t>
  </si>
  <si>
    <t>HFs</t>
  </si>
  <si>
    <t>Total:</t>
  </si>
  <si>
    <t>Tradition. 60/40</t>
  </si>
  <si>
    <t>Equal Weighted</t>
  </si>
  <si>
    <t xml:space="preserve">                All-Asset Model Portfolios</t>
  </si>
  <si>
    <t>CMA Provider:</t>
  </si>
  <si>
    <t>Correlation
Matrix</t>
  </si>
  <si>
    <t>Annual Std. Dev.</t>
  </si>
  <si>
    <t>Std. Dev.</t>
  </si>
  <si>
    <t>Annual Variance</t>
  </si>
  <si>
    <t>Variance</t>
  </si>
  <si>
    <t>Coveriance
Matrix</t>
  </si>
  <si>
    <t>Stated Subasset Class Name</t>
  </si>
  <si>
    <t>Optimized Allocation:</t>
  </si>
  <si>
    <t>Traditional 60/40</t>
  </si>
  <si>
    <t>Risk (Std. Dev)</t>
  </si>
  <si>
    <t>Return/Risk</t>
  </si>
  <si>
    <t>Exp. r</t>
  </si>
  <si>
    <t>Boolean</t>
  </si>
  <si>
    <t>Relation Value</t>
  </si>
  <si>
    <t>Format Text</t>
  </si>
  <si>
    <t>Constraints:</t>
  </si>
  <si>
    <t>Constraint DropDown</t>
  </si>
  <si>
    <t>U.S. Large Cap Equity Exposure</t>
  </si>
  <si>
    <t>U.S. Aggregate Bonds Exposure</t>
  </si>
  <si>
    <t>U.S. High Yield Bond Exposure</t>
  </si>
  <si>
    <t>Private Equity Exposure</t>
  </si>
  <si>
    <t>Infrastructure Exposure</t>
  </si>
  <si>
    <t>Multi-Strategy (HF) Exposure</t>
  </si>
  <si>
    <t>Asset Class Data</t>
  </si>
  <si>
    <t>CMA Provider Corresponding Subasset Class Name</t>
  </si>
  <si>
    <t>Northern Trust</t>
  </si>
  <si>
    <t>T. Rowe</t>
  </si>
  <si>
    <t>US Stocks</t>
  </si>
  <si>
    <t>All Cap</t>
  </si>
  <si>
    <t>U.S. Large Cap</t>
  </si>
  <si>
    <t>United States</t>
  </si>
  <si>
    <t>U.S. Large-Cap Equity</t>
  </si>
  <si>
    <t>Non-US Developed</t>
  </si>
  <si>
    <t>Int'l Developed Mkts</t>
  </si>
  <si>
    <t>EAFE Equity</t>
  </si>
  <si>
    <t>N/A</t>
  </si>
  <si>
    <t>DM ex-U.S. Equity</t>
  </si>
  <si>
    <t>Emerging Markets</t>
  </si>
  <si>
    <t>Int'l Emerging Mkts</t>
  </si>
  <si>
    <t>Emerging Markets Equity</t>
  </si>
  <si>
    <t>Core US Bond</t>
  </si>
  <si>
    <t>Intermediate Bond</t>
  </si>
  <si>
    <t>US Investment Grade</t>
  </si>
  <si>
    <t>U.S. Aggregate</t>
  </si>
  <si>
    <t>High Yield Bonds</t>
  </si>
  <si>
    <t>High Yield</t>
  </si>
  <si>
    <t>U.S. High Yield Bonds</t>
  </si>
  <si>
    <t>US High Yield</t>
  </si>
  <si>
    <t>Emerging Market Debt</t>
  </si>
  <si>
    <t>Emerging-Markets Bond</t>
  </si>
  <si>
    <t>Emerging Markets Sovereign Debt</t>
  </si>
  <si>
    <t>EM Sovereign</t>
  </si>
  <si>
    <t>Diversified Private Equity</t>
  </si>
  <si>
    <t>Private Debt (UL)</t>
  </si>
  <si>
    <t>Direct Lending</t>
  </si>
  <si>
    <t>Private Real Estate (UL)</t>
  </si>
  <si>
    <t>U.S. Core Real Estate</t>
  </si>
  <si>
    <t>Global Private Real Estate</t>
  </si>
  <si>
    <t>Global Core Infrastructure</t>
  </si>
  <si>
    <t>Diversified Hedge Funds</t>
  </si>
  <si>
    <t>Multi-Strategy</t>
  </si>
  <si>
    <t>Hedge Funds</t>
  </si>
  <si>
    <t>Cliffwater Raw Data</t>
  </si>
  <si>
    <t>Geometric</t>
  </si>
  <si>
    <t>Arithmetic</t>
  </si>
  <si>
    <t>Subasset Class</t>
  </si>
  <si>
    <t>Representative Index</t>
  </si>
  <si>
    <t>Compound Return (%)</t>
  </si>
  <si>
    <t>Correlation Matrix</t>
  </si>
  <si>
    <t>Global Equity</t>
  </si>
  <si>
    <t>IG Corporate</t>
  </si>
  <si>
    <t>10-yr Treasury</t>
  </si>
  <si>
    <t>3M LIBOR (Cash)</t>
  </si>
  <si>
    <t>10-yr TIPS</t>
  </si>
  <si>
    <t>Bank Loans</t>
  </si>
  <si>
    <t>Public REITs</t>
  </si>
  <si>
    <t>Private RE Partnerships</t>
  </si>
  <si>
    <t>Energy Funds</t>
  </si>
  <si>
    <t>Farmland</t>
  </si>
  <si>
    <t>Commodity Futures</t>
  </si>
  <si>
    <t>MLPs</t>
  </si>
  <si>
    <t>Private Debt (L1:0)</t>
  </si>
  <si>
    <t>Public BDCs</t>
  </si>
  <si>
    <t>Buyouts</t>
  </si>
  <si>
    <t xml:space="preserve">Venture Capital </t>
  </si>
  <si>
    <t>Directional HFs</t>
  </si>
  <si>
    <t>Absolute Return HFs</t>
  </si>
  <si>
    <t>Market Neutral HFs</t>
  </si>
  <si>
    <t>Credit/Distressed HFs</t>
  </si>
  <si>
    <t>Event Driven HFs</t>
  </si>
  <si>
    <t>Equity L/S HFs</t>
  </si>
  <si>
    <t>Macro (Discretionary) HFs</t>
  </si>
  <si>
    <t>Macro (Trend) HFs</t>
  </si>
  <si>
    <t>Multi Strategy HFs</t>
  </si>
  <si>
    <t xml:space="preserve">Fixed Income </t>
  </si>
  <si>
    <t>Envestnet Raw Data</t>
  </si>
  <si>
    <t>Alternative</t>
  </si>
  <si>
    <t>Alternative Fixed Income</t>
  </si>
  <si>
    <t>Asset Allocated, Balanced, Other</t>
  </si>
  <si>
    <t>Asset Allocated, Balanced, Other2</t>
  </si>
  <si>
    <t>Bank Loan</t>
  </si>
  <si>
    <t>Bear Market</t>
  </si>
  <si>
    <t>Cash</t>
  </si>
  <si>
    <t>Commodity</t>
  </si>
  <si>
    <t>Equity Market Neutral</t>
  </si>
  <si>
    <t>Event Driven</t>
  </si>
  <si>
    <t>Foreign Large Cap Core</t>
  </si>
  <si>
    <t>Foreign Large Cap Growth</t>
  </si>
  <si>
    <t>Foreign Large Cap Value</t>
  </si>
  <si>
    <t>Foreign Small Mid Cap Core</t>
  </si>
  <si>
    <t>Foreign Small Mid Cap Growth</t>
  </si>
  <si>
    <t>Foreign Small Mid Cap Value</t>
  </si>
  <si>
    <t>Global Macro</t>
  </si>
  <si>
    <t>Hedged Equity</t>
  </si>
  <si>
    <t>Inflation-Protected Bond</t>
  </si>
  <si>
    <t>Intermediate Muni</t>
  </si>
  <si>
    <t>International Bond</t>
  </si>
  <si>
    <t>Inverse</t>
  </si>
  <si>
    <t>Large-Cap Core</t>
  </si>
  <si>
    <t>Large-Cap Growth</t>
  </si>
  <si>
    <t>Large-Cap Value</t>
  </si>
  <si>
    <t>Leveraged</t>
  </si>
  <si>
    <t>Long Bond</t>
  </si>
  <si>
    <t>Long Muni</t>
  </si>
  <si>
    <t>Long/Short Credit</t>
  </si>
  <si>
    <t>Managed Futures</t>
  </si>
  <si>
    <t>Mid-Cap Core</t>
  </si>
  <si>
    <t>Mid-Cap Growth</t>
  </si>
  <si>
    <t>Mid-Cap Value</t>
  </si>
  <si>
    <t>Asset Allocated, Balanced, Other3</t>
  </si>
  <si>
    <t>REITs</t>
  </si>
  <si>
    <t>Short Bond</t>
  </si>
  <si>
    <t>Short Muni</t>
  </si>
  <si>
    <t>Small-Cap Core</t>
  </si>
  <si>
    <t>Small-Cap Growth</t>
  </si>
  <si>
    <t>Small-Cap Value</t>
  </si>
  <si>
    <t>Structured – Minimal Market
Sensitivity</t>
  </si>
  <si>
    <t>Structured – Low Market
Sensitivity</t>
  </si>
  <si>
    <t>Structured – Medium Market
Sensitivity</t>
  </si>
  <si>
    <t>Structured – High Market
Sensitivity</t>
  </si>
  <si>
    <t>NaN</t>
  </si>
  <si>
    <t>Structured –Minimal Market Sensitivity</t>
  </si>
  <si>
    <t>Structured – Low Market Sensitivity</t>
  </si>
  <si>
    <t>Structured – Medium Market Sensitivity</t>
  </si>
  <si>
    <t>Structured – High Market Sensitivity</t>
  </si>
  <si>
    <t>JPMorgan Raw Data</t>
  </si>
  <si>
    <t>U.S. Inflation</t>
  </si>
  <si>
    <t>U.S. Cash</t>
  </si>
  <si>
    <t>U.S. Intermediate Treasuries</t>
  </si>
  <si>
    <t>U.S. Long Treasuries</t>
  </si>
  <si>
    <t>TIPS</t>
  </si>
  <si>
    <t>U.S. Securitized</t>
  </si>
  <si>
    <t>U.S. Short Duration Government/Credit</t>
  </si>
  <si>
    <t>U.S. Long Duration Government/Credit</t>
  </si>
  <si>
    <t>U.S. Inv Grade Corporate Bonds</t>
  </si>
  <si>
    <t>U.S. Long Corporate Bonds</t>
  </si>
  <si>
    <t>U.S. Leveraged Loans</t>
  </si>
  <si>
    <t>World Government Bonds hedged</t>
  </si>
  <si>
    <t>World Government Bonds</t>
  </si>
  <si>
    <t>World ex-U.S. Government Bonds hedged</t>
  </si>
  <si>
    <t>World ex-U.S. Government Bonds</t>
  </si>
  <si>
    <t>Emerging Markets Local Currency Debt</t>
  </si>
  <si>
    <t>Emerging Markets Corporate Bonds</t>
  </si>
  <si>
    <t>U.S. Muni 1-15 Yr Blend</t>
  </si>
  <si>
    <t>U.S. Muni High Yield</t>
  </si>
  <si>
    <t>U.S. Mid Cap</t>
  </si>
  <si>
    <t>U.S. Small Cap</t>
  </si>
  <si>
    <t>Euro Area Large Cap</t>
  </si>
  <si>
    <t>Japanese Equity</t>
  </si>
  <si>
    <t>Hong Kong Equity</t>
  </si>
  <si>
    <t>UK Large Cap</t>
  </si>
  <si>
    <t>Chinese Domestic Equity</t>
  </si>
  <si>
    <t>AC Asia ex-Japan Equity</t>
  </si>
  <si>
    <t>AC World Equity</t>
  </si>
  <si>
    <t>U.S. Equity Value Factor</t>
  </si>
  <si>
    <t>U.S. Equity Momentum Factor</t>
  </si>
  <si>
    <t>U.S. Equity Quality Factor</t>
  </si>
  <si>
    <t>U.S. Equity Minimum Volatility Factor</t>
  </si>
  <si>
    <t>U.S. Equity Dividend Yield Factor</t>
  </si>
  <si>
    <t>U.S. Equity Diversified Factor</t>
  </si>
  <si>
    <t>U.S. Convertible Bond</t>
  </si>
  <si>
    <t>Global Convertible Bond hedged</t>
  </si>
  <si>
    <t>Global Credit Sensitive Convertible hedged</t>
  </si>
  <si>
    <t>U.S. Value-Added Real Estate</t>
  </si>
  <si>
    <t>European Core Real Estate</t>
  </si>
  <si>
    <t>Asia Pacific Core Real Estate</t>
  </si>
  <si>
    <t>U.S. REITs</t>
  </si>
  <si>
    <t>Global Core Transport</t>
  </si>
  <si>
    <t>Event Driven Hedge Funds</t>
  </si>
  <si>
    <t>Long Bias Hedge Funds</t>
  </si>
  <si>
    <t>Relative Value Hedge Funds</t>
  </si>
  <si>
    <t>Macro Hedge Funds</t>
  </si>
  <si>
    <t>Commodities</t>
  </si>
  <si>
    <t>Gold</t>
  </si>
  <si>
    <t>Northern Trust Raw Data</t>
  </si>
  <si>
    <t>Europe</t>
  </si>
  <si>
    <t>Japan</t>
  </si>
  <si>
    <t>U.K.</t>
  </si>
  <si>
    <t>Canada</t>
  </si>
  <si>
    <t>Aus.</t>
  </si>
  <si>
    <t>Global</t>
  </si>
  <si>
    <t>Developed Markets</t>
  </si>
  <si>
    <t>Aggs.</t>
  </si>
  <si>
    <t>US Cash</t>
  </si>
  <si>
    <t>US Inflation Linked</t>
  </si>
  <si>
    <t>US Municipal</t>
  </si>
  <si>
    <t>EU Cash</t>
  </si>
  <si>
    <t>EU Inflation Linked</t>
  </si>
  <si>
    <t>EU Investment Grade</t>
  </si>
  <si>
    <t>JP Cash</t>
  </si>
  <si>
    <t>JP Inflation Linked</t>
  </si>
  <si>
    <t>JP Investment Grade</t>
  </si>
  <si>
    <t>UK Cash</t>
  </si>
  <si>
    <t>UK Inflation Linked</t>
  </si>
  <si>
    <t>UK Investment Grade</t>
  </si>
  <si>
    <t>CA Cash</t>
  </si>
  <si>
    <t>CA Inflation Linked</t>
  </si>
  <si>
    <t>CA Investment Grade</t>
  </si>
  <si>
    <t>CA High Yield</t>
  </si>
  <si>
    <t>AU Cash</t>
  </si>
  <si>
    <t>AU Investment Grade</t>
  </si>
  <si>
    <t>Global Inflation Linked</t>
  </si>
  <si>
    <t>Global Investment Grade</t>
  </si>
  <si>
    <t>Global High Yield</t>
  </si>
  <si>
    <t>United Kingdom</t>
  </si>
  <si>
    <t>Australia</t>
  </si>
  <si>
    <t>Global Equities</t>
  </si>
  <si>
    <t>Natural Resources</t>
  </si>
  <si>
    <t>Listed Real Estate</t>
  </si>
  <si>
    <t>Listed Infrastructure</t>
  </si>
  <si>
    <t>FTSE Treasury Bill 3 Mon</t>
  </si>
  <si>
    <t>BBgBarc Gbl Infl Linked US TIPS</t>
  </si>
  <si>
    <t>BBgBarc US Agg Bond</t>
  </si>
  <si>
    <t>BBgBarc US Corporate High Yield</t>
  </si>
  <si>
    <t>BBgBarc Municipal 1-10Y Blend 1-12Y</t>
  </si>
  <si>
    <t>JPM GBI Germany 3 Mon</t>
  </si>
  <si>
    <t>BBgBarc Euro Govt Infl Lkd</t>
  </si>
  <si>
    <t>BBgBarc Euro Agg Bond</t>
  </si>
  <si>
    <t>JPM GBI Japan 3 Mon</t>
  </si>
  <si>
    <t>BBgBarc JPN Govt Infl Lkd</t>
  </si>
  <si>
    <t>BBgBarc Japanese Aggregate</t>
  </si>
  <si>
    <t>JPM GBI UK 3 Mon</t>
  </si>
  <si>
    <t>BBgBarc Gbl Infl Linked UK</t>
  </si>
  <si>
    <t>BBgBarc Sterling Agg</t>
  </si>
  <si>
    <t>FTSE TMX Canada 91 Day TBill</t>
  </si>
  <si>
    <t>FTSE TMX Canada Real Return Bond</t>
  </si>
  <si>
    <t>FTSE TMX Canada Universe Bond</t>
  </si>
  <si>
    <t>ICE BofAML CA HY CA Issuers</t>
  </si>
  <si>
    <t>JPM GBI Australia 3 Mon</t>
  </si>
  <si>
    <t>BBgBarc Global Australia</t>
  </si>
  <si>
    <t>BBgBarc Global Inflation Linked</t>
  </si>
  <si>
    <t>BBgBarc Global Aggregate</t>
  </si>
  <si>
    <t>BBgBarc Global High Yield</t>
  </si>
  <si>
    <t>MSCI USA IMI</t>
  </si>
  <si>
    <t>EUROPE ex UK IMI</t>
  </si>
  <si>
    <t>MSCI Japan IMI</t>
  </si>
  <si>
    <t>MSCI UK IMI</t>
  </si>
  <si>
    <t xml:space="preserve">MSCI Canada IMI </t>
  </si>
  <si>
    <t>MSCI Australia IMI</t>
  </si>
  <si>
    <t>MSCI World IMI</t>
  </si>
  <si>
    <t>MSCI EM IMI</t>
  </si>
  <si>
    <t>MSCI ACWI IMI</t>
  </si>
  <si>
    <t xml:space="preserve">S&amp;P Global Natural Resources </t>
  </si>
  <si>
    <t>MSCI ACWI IMI Core RE</t>
  </si>
  <si>
    <t>S&amp;P Global Infrastructure</t>
  </si>
  <si>
    <t>Cambridge Associate Global Private Equity</t>
  </si>
  <si>
    <t>Cambridge Associate Global Private Credit</t>
  </si>
  <si>
    <t>HFRI Fund Weighted</t>
  </si>
  <si>
    <t>T. Rowe Raw Data</t>
  </si>
  <si>
    <t>Global ex-U.S. Equity</t>
  </si>
  <si>
    <t>DM Equity</t>
  </si>
  <si>
    <t>U.S. Small-Cap Equity</t>
  </si>
  <si>
    <t>Europe Equity</t>
  </si>
  <si>
    <t>Asia ex-Japan Equity</t>
  </si>
  <si>
    <t>Japan Equity</t>
  </si>
  <si>
    <t>Real Asset Equity</t>
  </si>
  <si>
    <t>Global Aggregate</t>
  </si>
  <si>
    <t>Global Aggregate (Hdg)</t>
  </si>
  <si>
    <t>Global Agg. ex-U.S.</t>
  </si>
  <si>
    <t>Global Agg. ex-U.S. (Hdg)</t>
  </si>
  <si>
    <t>Global IG Corporate (Hdg)</t>
  </si>
  <si>
    <t>U.S. Treasury</t>
  </si>
  <si>
    <t>U.S. TIPS</t>
  </si>
  <si>
    <t>U.S. Short TIPS</t>
  </si>
  <si>
    <t>U.S. IG Corporate</t>
  </si>
  <si>
    <t>U.S. Long Credit</t>
  </si>
  <si>
    <t>U.S. Long Treasury</t>
  </si>
  <si>
    <t>U.S. Bank Loans</t>
  </si>
  <si>
    <t>EM Sovereign Local</t>
  </si>
  <si>
    <t>EM Corporate</t>
  </si>
  <si>
    <t/>
  </si>
  <si>
    <t>CMAs</t>
  </si>
  <si>
    <t xml:space="preserve">Correlations </t>
  </si>
  <si>
    <t xml:space="preserve">Time Horizon </t>
  </si>
  <si>
    <t xml:space="preserve">Proxies </t>
  </si>
  <si>
    <t xml:space="preserve">Alternatives </t>
  </si>
  <si>
    <t>Blackrock</t>
  </si>
  <si>
    <t>Partial</t>
  </si>
  <si>
    <t>5 to 30</t>
  </si>
  <si>
    <t xml:space="preserve">Yes </t>
  </si>
  <si>
    <t>BNY</t>
  </si>
  <si>
    <t>Yes</t>
  </si>
  <si>
    <t>???</t>
  </si>
  <si>
    <t xml:space="preserve">Cliffwater </t>
  </si>
  <si>
    <t>No</t>
  </si>
  <si>
    <t xml:space="preserve">JPM </t>
  </si>
  <si>
    <t xml:space="preserve">Northern Trust </t>
  </si>
  <si>
    <t>T.Rowe</t>
  </si>
  <si>
    <t xml:space="preserve">Nick's Updated Table 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</si>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</sst>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_-* #,##0.00_-;\-* #,##0.00_-;_-* &quot;-&quot;??_-;_-@_-"/>
    <numFmt numFmtId="166" formatCode="0.000"/>
    <numFmt numFmtId="167" formatCode="0.0"/>
    <numFmt numFmtId="168" formatCode="0.0000000000%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Equip-regula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2E4250"/>
      <name val="Calibri"/>
      <family val="2"/>
    </font>
    <font>
      <b/>
      <sz val="18"/>
      <color theme="3" tint="0.499984740745262"/>
      <name val="Calibri"/>
      <family val="2"/>
      <scheme val="minor"/>
    </font>
    <font>
      <b/>
      <sz val="22"/>
      <color theme="3" tint="0.49998474074526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Avenir Next LT Pro Demi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42"/>
      <color theme="4"/>
      <name val="Avenir Next LT Pro Dem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4"/>
      <color theme="3"/>
      <name val="Calibri"/>
      <family val="2"/>
      <scheme val="minor"/>
    </font>
    <font>
      <b/>
      <sz val="20"/>
      <color theme="4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22"/>
      <color theme="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theme="4"/>
      <name val="Calibri"/>
      <family val="2"/>
      <scheme val="minor"/>
    </font>
    <font>
      <sz val="18"/>
      <color theme="8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4"/>
      <color theme="8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24"/>
      <color theme="3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36"/>
      <color theme="4"/>
      <name val="Avenir Next LT Pro Demi"/>
      <family val="2"/>
    </font>
    <font>
      <b/>
      <sz val="22"/>
      <color theme="0"/>
      <name val="Avenir Next LT Pro Demi"/>
      <family val="2"/>
    </font>
    <font>
      <b/>
      <sz val="22"/>
      <color theme="4"/>
      <name val="Avenir Next LT Pro Demi"/>
      <family val="2"/>
    </font>
    <font>
      <b/>
      <i/>
      <sz val="10"/>
      <color theme="3"/>
      <name val="Calibri"/>
      <family val="2"/>
      <scheme val="minor"/>
    </font>
    <font>
      <i/>
      <sz val="10"/>
      <color theme="3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/>
      <name val="Avenir Next LT Pro Demi"/>
      <family val="2"/>
    </font>
    <font>
      <b/>
      <sz val="12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sz val="8"/>
      <color rgb="FF000000"/>
      <name val="Segoe UI"/>
      <charset val="1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565A5C"/>
        <bgColor rgb="FF565A5C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3" tint="0.499984740745262"/>
      </right>
      <top/>
      <bottom/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/>
      <top style="medium">
        <color theme="3" tint="0.499984740745262"/>
      </top>
      <bottom style="thin">
        <color theme="0"/>
      </bottom>
      <diagonal/>
    </border>
    <border>
      <left/>
      <right/>
      <top style="medium">
        <color theme="3" tint="0.499984740745262"/>
      </top>
      <bottom style="thin">
        <color theme="0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thin">
        <color theme="0"/>
      </bottom>
      <diagonal/>
    </border>
    <border>
      <left style="medium">
        <color theme="3" tint="0.499984740745262"/>
      </left>
      <right style="thin">
        <color theme="0"/>
      </right>
      <top style="thin">
        <color theme="0"/>
      </top>
      <bottom/>
      <diagonal/>
    </border>
    <border>
      <left style="medium">
        <color theme="3" tint="0.499984740745262"/>
      </left>
      <right style="thin">
        <color theme="0"/>
      </right>
      <top/>
      <bottom/>
      <diagonal/>
    </border>
    <border>
      <left style="thin">
        <color theme="0"/>
      </left>
      <right style="medium">
        <color theme="3" tint="0.499984740745262"/>
      </right>
      <top/>
      <bottom/>
      <diagonal/>
    </border>
    <border>
      <left style="medium">
        <color theme="3" tint="0.499984740745262"/>
      </left>
      <right style="thin">
        <color theme="0"/>
      </right>
      <top/>
      <bottom style="medium">
        <color theme="3" tint="0.499984740745262"/>
      </bottom>
      <diagonal/>
    </border>
    <border>
      <left/>
      <right style="thin">
        <color theme="0"/>
      </right>
      <top/>
      <bottom style="medium">
        <color theme="3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3" tint="0.499984740745262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3" tint="0.499984740745262"/>
      </right>
      <top/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/>
      <diagonal/>
    </border>
    <border>
      <left style="medium">
        <color theme="3" tint="0.499984740745262"/>
      </left>
      <right style="thin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theme="0"/>
      </left>
      <right/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/>
      </left>
      <right style="thin">
        <color theme="0"/>
      </right>
      <top style="medium">
        <color theme="3"/>
      </top>
      <bottom/>
      <diagonal/>
    </border>
    <border>
      <left style="thin">
        <color theme="0"/>
      </left>
      <right style="thin">
        <color theme="0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 style="thin">
        <color theme="0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thin">
        <color theme="0"/>
      </right>
      <top/>
      <bottom style="thin">
        <color indexed="64"/>
      </bottom>
      <diagonal/>
    </border>
    <border>
      <left/>
      <right style="medium">
        <color theme="3"/>
      </right>
      <top/>
      <bottom style="thin">
        <color indexed="64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 style="thin">
        <color theme="0"/>
      </right>
      <top/>
      <bottom style="thin">
        <color indexed="64"/>
      </bottom>
      <diagonal/>
    </border>
    <border>
      <left/>
      <right style="thin">
        <color theme="3"/>
      </right>
      <top/>
      <bottom style="thin">
        <color indexed="64"/>
      </bottom>
      <diagonal/>
    </border>
    <border>
      <left style="thin">
        <color theme="3"/>
      </left>
      <right/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5" fontId="2" fillId="0" borderId="0" applyFont="0" applyFill="0" applyBorder="0" applyAlignment="0" applyProtection="0"/>
    <xf numFmtId="0" fontId="4" fillId="0" borderId="0"/>
  </cellStyleXfs>
  <cellXfs count="626">
    <xf numFmtId="0" fontId="0" fillId="0" borderId="0" xfId="0"/>
    <xf numFmtId="164" fontId="0" fillId="0" borderId="0" xfId="1" applyNumberFormat="1" applyFont="1"/>
    <xf numFmtId="0" fontId="7" fillId="4" borderId="14" xfId="0" applyFont="1" applyFill="1" applyBorder="1"/>
    <xf numFmtId="0" fontId="7" fillId="4" borderId="15" xfId="0" applyFont="1" applyFill="1" applyBorder="1" applyAlignment="1">
      <alignment horizontal="right"/>
    </xf>
    <xf numFmtId="0" fontId="7" fillId="4" borderId="16" xfId="0" applyFont="1" applyFill="1" applyBorder="1" applyAlignment="1">
      <alignment horizontal="right"/>
    </xf>
    <xf numFmtId="0" fontId="3" fillId="0" borderId="1" xfId="0" applyFon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" fillId="0" borderId="17" xfId="0" applyFont="1" applyBorder="1"/>
    <xf numFmtId="0" fontId="0" fillId="0" borderId="3" xfId="0" applyBorder="1" applyAlignment="1">
      <alignment horizontal="right"/>
    </xf>
    <xf numFmtId="0" fontId="0" fillId="0" borderId="18" xfId="0" applyBorder="1" applyAlignment="1">
      <alignment horizontal="right"/>
    </xf>
    <xf numFmtId="0" fontId="3" fillId="0" borderId="0" xfId="0" applyFont="1"/>
    <xf numFmtId="0" fontId="9" fillId="5" borderId="0" xfId="0" applyFont="1" applyFill="1"/>
    <xf numFmtId="0" fontId="3" fillId="6" borderId="0" xfId="0" applyFont="1" applyFill="1" applyAlignment="1">
      <alignment vertical="center"/>
    </xf>
    <xf numFmtId="0" fontId="0" fillId="0" borderId="0" xfId="0" applyAlignment="1">
      <alignment vertical="center"/>
    </xf>
    <xf numFmtId="164" fontId="0" fillId="0" borderId="0" xfId="1" applyNumberFormat="1" applyFont="1" applyFill="1" applyAlignment="1">
      <alignment vertical="center"/>
    </xf>
    <xf numFmtId="0" fontId="0" fillId="0" borderId="0" xfId="0" applyAlignment="1">
      <alignment horizontal="left" vertical="center" indent="1"/>
    </xf>
    <xf numFmtId="0" fontId="3" fillId="7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7" fillId="5" borderId="19" xfId="0" applyFont="1" applyFill="1" applyBorder="1" applyAlignment="1">
      <alignment horizontal="center" vertical="center"/>
    </xf>
    <xf numFmtId="164" fontId="3" fillId="6" borderId="22" xfId="1" applyNumberFormat="1" applyFont="1" applyFill="1" applyBorder="1" applyAlignment="1">
      <alignment vertical="center"/>
    </xf>
    <xf numFmtId="164" fontId="0" fillId="7" borderId="22" xfId="1" applyNumberFormat="1" applyFont="1" applyFill="1" applyBorder="1" applyAlignment="1">
      <alignment vertical="center"/>
    </xf>
    <xf numFmtId="164" fontId="0" fillId="8" borderId="22" xfId="1" applyNumberFormat="1" applyFont="1" applyFill="1" applyBorder="1" applyAlignment="1">
      <alignment vertical="center"/>
    </xf>
    <xf numFmtId="164" fontId="0" fillId="0" borderId="22" xfId="1" applyNumberFormat="1" applyFont="1" applyFill="1" applyBorder="1" applyAlignment="1">
      <alignment vertical="center"/>
    </xf>
    <xf numFmtId="0" fontId="7" fillId="5" borderId="20" xfId="0" applyFont="1" applyFill="1" applyBorder="1" applyAlignment="1">
      <alignment horizontal="center" vertical="center"/>
    </xf>
    <xf numFmtId="164" fontId="3" fillId="6" borderId="23" xfId="1" applyNumberFormat="1" applyFont="1" applyFill="1" applyBorder="1" applyAlignment="1">
      <alignment vertical="center"/>
    </xf>
    <xf numFmtId="164" fontId="0" fillId="7" borderId="23" xfId="1" applyNumberFormat="1" applyFont="1" applyFill="1" applyBorder="1" applyAlignment="1">
      <alignment vertical="center"/>
    </xf>
    <xf numFmtId="164" fontId="0" fillId="8" borderId="23" xfId="1" applyNumberFormat="1" applyFont="1" applyFill="1" applyBorder="1" applyAlignment="1">
      <alignment vertical="center"/>
    </xf>
    <xf numFmtId="164" fontId="0" fillId="0" borderId="23" xfId="1" applyNumberFormat="1" applyFont="1" applyFill="1" applyBorder="1" applyAlignment="1">
      <alignment vertical="center"/>
    </xf>
    <xf numFmtId="0" fontId="7" fillId="5" borderId="22" xfId="0" applyFont="1" applyFill="1" applyBorder="1"/>
    <xf numFmtId="0" fontId="3" fillId="6" borderId="22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7" fillId="5" borderId="0" xfId="0" applyFont="1" applyFill="1" applyAlignment="1">
      <alignment vertical="center" wrapText="1"/>
    </xf>
    <xf numFmtId="0" fontId="15" fillId="0" borderId="0" xfId="0" applyFont="1"/>
    <xf numFmtId="0" fontId="7" fillId="9" borderId="0" xfId="0" applyFont="1" applyFill="1" applyAlignment="1">
      <alignment vertical="center" wrapText="1"/>
    </xf>
    <xf numFmtId="0" fontId="15" fillId="0" borderId="0" xfId="0" applyFont="1" applyAlignment="1">
      <alignment horizontal="center" vertical="center"/>
    </xf>
    <xf numFmtId="10" fontId="15" fillId="0" borderId="0" xfId="1" applyNumberFormat="1" applyFont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5" borderId="0" xfId="0" applyFont="1" applyFill="1" applyAlignment="1">
      <alignment vertical="center" wrapText="1"/>
    </xf>
    <xf numFmtId="0" fontId="11" fillId="0" borderId="0" xfId="0" applyFont="1" applyAlignment="1">
      <alignment vertical="center" wrapText="1"/>
    </xf>
    <xf numFmtId="0" fontId="9" fillId="0" borderId="0" xfId="0" applyFont="1"/>
    <xf numFmtId="164" fontId="8" fillId="8" borderId="23" xfId="1" applyNumberFormat="1" applyFont="1" applyFill="1" applyBorder="1" applyAlignment="1">
      <alignment vertical="center"/>
    </xf>
    <xf numFmtId="164" fontId="8" fillId="7" borderId="23" xfId="1" applyNumberFormat="1" applyFont="1" applyFill="1" applyBorder="1" applyAlignment="1">
      <alignment vertical="center"/>
    </xf>
    <xf numFmtId="0" fontId="0" fillId="7" borderId="22" xfId="0" applyFill="1" applyBorder="1" applyAlignment="1">
      <alignment vertical="center"/>
    </xf>
    <xf numFmtId="0" fontId="0" fillId="8" borderId="22" xfId="0" applyFill="1" applyBorder="1" applyAlignment="1">
      <alignment vertical="center"/>
    </xf>
    <xf numFmtId="0" fontId="0" fillId="0" borderId="22" xfId="0" applyBorder="1" applyAlignment="1">
      <alignment vertical="center"/>
    </xf>
    <xf numFmtId="164" fontId="0" fillId="0" borderId="0" xfId="1" applyNumberFormat="1" applyFont="1" applyFill="1" applyBorder="1" applyAlignment="1">
      <alignment vertical="center"/>
    </xf>
    <xf numFmtId="0" fontId="11" fillId="0" borderId="0" xfId="0" applyFont="1" applyAlignment="1">
      <alignment horizontal="center" vertical="center" wrapText="1"/>
    </xf>
    <xf numFmtId="0" fontId="7" fillId="0" borderId="0" xfId="0" applyFont="1"/>
    <xf numFmtId="164" fontId="3" fillId="0" borderId="0" xfId="1" applyNumberFormat="1" applyFont="1" applyFill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 indent="2"/>
    </xf>
    <xf numFmtId="0" fontId="10" fillId="0" borderId="0" xfId="0" applyFont="1"/>
    <xf numFmtId="0" fontId="10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right" indent="1"/>
    </xf>
    <xf numFmtId="166" fontId="0" fillId="7" borderId="0" xfId="0" applyNumberFormat="1" applyFill="1" applyAlignment="1">
      <alignment horizontal="center" vertical="center"/>
    </xf>
    <xf numFmtId="166" fontId="18" fillId="7" borderId="0" xfId="0" applyNumberFormat="1" applyFont="1" applyFill="1" applyAlignment="1">
      <alignment horizontal="center" vertical="center"/>
    </xf>
    <xf numFmtId="166" fontId="18" fillId="7" borderId="26" xfId="0" applyNumberFormat="1" applyFon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 vertical="center"/>
    </xf>
    <xf numFmtId="166" fontId="18" fillId="8" borderId="0" xfId="0" applyNumberFormat="1" applyFont="1" applyFill="1" applyAlignment="1">
      <alignment horizontal="center" vertical="center"/>
    </xf>
    <xf numFmtId="166" fontId="18" fillId="8" borderId="26" xfId="0" applyNumberFormat="1" applyFont="1" applyFill="1" applyBorder="1" applyAlignment="1">
      <alignment horizontal="center" vertical="center"/>
    </xf>
    <xf numFmtId="166" fontId="18" fillId="8" borderId="0" xfId="0" applyNumberFormat="1" applyFont="1" applyFill="1" applyAlignment="1">
      <alignment vertical="center"/>
    </xf>
    <xf numFmtId="0" fontId="19" fillId="0" borderId="0" xfId="0" applyFont="1" applyAlignment="1">
      <alignment horizontal="center" vertical="center"/>
    </xf>
    <xf numFmtId="0" fontId="14" fillId="5" borderId="0" xfId="0" applyFont="1" applyFill="1" applyAlignment="1">
      <alignment horizontal="right" indent="1"/>
    </xf>
    <xf numFmtId="0" fontId="14" fillId="5" borderId="0" xfId="0" applyFont="1" applyFill="1" applyAlignment="1">
      <alignment horizontal="center" textRotation="90" wrapText="1"/>
    </xf>
    <xf numFmtId="0" fontId="14" fillId="5" borderId="0" xfId="0" applyFont="1" applyFill="1" applyAlignment="1">
      <alignment textRotation="90" wrapText="1"/>
    </xf>
    <xf numFmtId="0" fontId="9" fillId="5" borderId="0" xfId="0" applyFont="1" applyFill="1" applyAlignment="1">
      <alignment textRotation="90"/>
    </xf>
    <xf numFmtId="0" fontId="9" fillId="5" borderId="0" xfId="0" applyFont="1" applyFill="1" applyAlignment="1">
      <alignment horizontal="center" textRotation="90"/>
    </xf>
    <xf numFmtId="0" fontId="14" fillId="5" borderId="0" xfId="0" applyFont="1" applyFill="1" applyAlignment="1">
      <alignment horizontal="right" textRotation="90"/>
    </xf>
    <xf numFmtId="166" fontId="3" fillId="7" borderId="0" xfId="0" applyNumberFormat="1" applyFont="1" applyFill="1" applyAlignment="1">
      <alignment horizontal="center" vertical="center"/>
    </xf>
    <xf numFmtId="166" fontId="3" fillId="8" borderId="0" xfId="0" applyNumberFormat="1" applyFont="1" applyFill="1" applyAlignment="1">
      <alignment horizontal="center" vertical="center"/>
    </xf>
    <xf numFmtId="166" fontId="3" fillId="7" borderId="26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22" fillId="0" borderId="0" xfId="0" applyFont="1"/>
    <xf numFmtId="164" fontId="0" fillId="0" borderId="0" xfId="1" applyNumberFormat="1" applyFont="1" applyBorder="1"/>
    <xf numFmtId="0" fontId="23" fillId="0" borderId="0" xfId="0" applyFont="1"/>
    <xf numFmtId="0" fontId="24" fillId="0" borderId="0" xfId="0" applyFont="1" applyAlignment="1">
      <alignment horizontal="center" vertical="center" wrapText="1"/>
    </xf>
    <xf numFmtId="166" fontId="0" fillId="0" borderId="0" xfId="0" applyNumberFormat="1"/>
    <xf numFmtId="0" fontId="21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64" fontId="25" fillId="7" borderId="24" xfId="1" applyNumberFormat="1" applyFont="1" applyFill="1" applyBorder="1" applyAlignment="1">
      <alignment horizontal="center" vertical="center"/>
    </xf>
    <xf numFmtId="164" fontId="25" fillId="8" borderId="24" xfId="1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wrapText="1"/>
    </xf>
    <xf numFmtId="0" fontId="26" fillId="0" borderId="0" xfId="0" applyFont="1"/>
    <xf numFmtId="1" fontId="0" fillId="0" borderId="0" xfId="1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1" applyNumberFormat="1" applyFont="1" applyFill="1" applyBorder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9" fontId="0" fillId="0" borderId="0" xfId="1" applyFont="1" applyFill="1" applyBorder="1" applyAlignment="1">
      <alignment horizontal="center" vertical="center"/>
    </xf>
    <xf numFmtId="164" fontId="25" fillId="7" borderId="0" xfId="1" applyNumberFormat="1" applyFont="1" applyFill="1" applyBorder="1" applyAlignment="1">
      <alignment horizontal="center" vertical="center"/>
    </xf>
    <xf numFmtId="164" fontId="25" fillId="8" borderId="0" xfId="1" applyNumberFormat="1" applyFont="1" applyFill="1" applyBorder="1" applyAlignment="1">
      <alignment horizontal="center" vertical="center"/>
    </xf>
    <xf numFmtId="164" fontId="0" fillId="0" borderId="0" xfId="1" applyNumberFormat="1" applyFont="1" applyFill="1" applyBorder="1" applyAlignment="1">
      <alignment horizontal="right" vertical="center" indent="1"/>
    </xf>
    <xf numFmtId="164" fontId="23" fillId="0" borderId="0" xfId="1" applyNumberFormat="1" applyFont="1" applyFill="1" applyBorder="1" applyAlignment="1">
      <alignment horizontal="right" vertical="center" indent="1"/>
    </xf>
    <xf numFmtId="166" fontId="0" fillId="0" borderId="0" xfId="0" applyNumberFormat="1" applyAlignment="1">
      <alignment textRotation="90"/>
    </xf>
    <xf numFmtId="166" fontId="0" fillId="0" borderId="0" xfId="0" applyNumberFormat="1" applyAlignment="1">
      <alignment horizontal="right"/>
    </xf>
    <xf numFmtId="166" fontId="0" fillId="0" borderId="0" xfId="1" applyNumberFormat="1" applyFont="1" applyFill="1"/>
    <xf numFmtId="166" fontId="29" fillId="0" borderId="0" xfId="0" applyNumberFormat="1" applyFont="1"/>
    <xf numFmtId="0" fontId="30" fillId="0" borderId="0" xfId="0" applyFont="1" applyAlignment="1">
      <alignment horizontal="center"/>
    </xf>
    <xf numFmtId="0" fontId="12" fillId="0" borderId="0" xfId="0" applyFont="1" applyAlignment="1">
      <alignment horizontal="left" vertical="center" indent="1"/>
    </xf>
    <xf numFmtId="0" fontId="7" fillId="0" borderId="0" xfId="0" applyFont="1" applyAlignment="1">
      <alignment horizontal="center" vertical="center" wrapText="1"/>
    </xf>
    <xf numFmtId="2" fontId="23" fillId="0" borderId="0" xfId="1" applyNumberFormat="1" applyFont="1" applyFill="1" applyBorder="1" applyAlignment="1">
      <alignment horizontal="right" vertical="center" indent="1"/>
    </xf>
    <xf numFmtId="0" fontId="3" fillId="10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10" fontId="0" fillId="0" borderId="0" xfId="1" applyNumberFormat="1" applyFont="1" applyFill="1" applyAlignment="1">
      <alignment horizontal="right" vertical="center"/>
    </xf>
    <xf numFmtId="10" fontId="0" fillId="10" borderId="0" xfId="1" applyNumberFormat="1" applyFont="1" applyFill="1" applyAlignment="1">
      <alignment horizontal="right" vertical="center"/>
    </xf>
    <xf numFmtId="10" fontId="0" fillId="10" borderId="0" xfId="0" applyNumberFormat="1" applyFill="1" applyAlignment="1">
      <alignment horizontal="right" vertical="center"/>
    </xf>
    <xf numFmtId="0" fontId="3" fillId="0" borderId="23" xfId="0" applyFont="1" applyBorder="1" applyAlignment="1">
      <alignment vertical="center"/>
    </xf>
    <xf numFmtId="164" fontId="0" fillId="6" borderId="24" xfId="1" applyNumberFormat="1" applyFont="1" applyFill="1" applyBorder="1" applyAlignment="1">
      <alignment horizontal="right" vertical="center"/>
    </xf>
    <xf numFmtId="164" fontId="0" fillId="6" borderId="0" xfId="1" applyNumberFormat="1" applyFont="1" applyFill="1" applyBorder="1" applyAlignment="1">
      <alignment horizontal="right" vertical="center"/>
    </xf>
    <xf numFmtId="167" fontId="0" fillId="6" borderId="24" xfId="0" applyNumberFormat="1" applyFill="1" applyBorder="1" applyAlignment="1">
      <alignment horizontal="right" vertical="center"/>
    </xf>
    <xf numFmtId="167" fontId="0" fillId="6" borderId="0" xfId="0" applyNumberFormat="1" applyFill="1" applyAlignment="1">
      <alignment horizontal="right" vertic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0" fontId="0" fillId="0" borderId="0" xfId="1" applyNumberFormat="1" applyFont="1" applyFill="1" applyBorder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0" borderId="0" xfId="1" applyNumberFormat="1" applyFont="1" applyFill="1" applyBorder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164" fontId="25" fillId="8" borderId="50" xfId="1" applyNumberFormat="1" applyFont="1" applyFill="1" applyBorder="1" applyAlignment="1">
      <alignment horizontal="center" vertical="center"/>
    </xf>
    <xf numFmtId="164" fontId="25" fillId="8" borderId="4" xfId="1" applyNumberFormat="1" applyFont="1" applyFill="1" applyBorder="1" applyAlignment="1">
      <alignment horizontal="center" vertical="center"/>
    </xf>
    <xf numFmtId="164" fontId="3" fillId="7" borderId="20" xfId="1" applyNumberFormat="1" applyFont="1" applyFill="1" applyBorder="1" applyAlignment="1">
      <alignment horizontal="right" vertical="center" indent="1"/>
    </xf>
    <xf numFmtId="164" fontId="3" fillId="8" borderId="23" xfId="1" applyNumberFormat="1" applyFont="1" applyFill="1" applyBorder="1" applyAlignment="1">
      <alignment horizontal="right" vertical="center" indent="1"/>
    </xf>
    <xf numFmtId="164" fontId="3" fillId="7" borderId="23" xfId="1" applyNumberFormat="1" applyFont="1" applyFill="1" applyBorder="1" applyAlignment="1">
      <alignment horizontal="right" vertical="center" indent="1"/>
    </xf>
    <xf numFmtId="164" fontId="3" fillId="8" borderId="52" xfId="1" applyNumberFormat="1" applyFont="1" applyFill="1" applyBorder="1" applyAlignment="1">
      <alignment horizontal="right" vertical="center" indent="1"/>
    </xf>
    <xf numFmtId="0" fontId="0" fillId="0" borderId="0" xfId="0" applyAlignment="1">
      <alignment horizontal="left" indent="1"/>
    </xf>
    <xf numFmtId="164" fontId="1" fillId="7" borderId="23" xfId="1" applyNumberFormat="1" applyFont="1" applyFill="1" applyBorder="1" applyAlignment="1">
      <alignment vertical="center"/>
    </xf>
    <xf numFmtId="164" fontId="1" fillId="8" borderId="23" xfId="1" applyNumberFormat="1" applyFont="1" applyFill="1" applyBorder="1" applyAlignment="1">
      <alignment vertical="center"/>
    </xf>
    <xf numFmtId="164" fontId="1" fillId="0" borderId="23" xfId="1" applyNumberFormat="1" applyFont="1" applyFill="1" applyBorder="1" applyAlignment="1">
      <alignment vertical="center"/>
    </xf>
    <xf numFmtId="164" fontId="1" fillId="7" borderId="22" xfId="1" applyNumberFormat="1" applyFont="1" applyFill="1" applyBorder="1" applyAlignment="1">
      <alignment vertical="center"/>
    </xf>
    <xf numFmtId="166" fontId="0" fillId="0" borderId="0" xfId="0" applyNumberFormat="1" applyAlignment="1">
      <alignment horizontal="left" indent="1"/>
    </xf>
    <xf numFmtId="166" fontId="23" fillId="0" borderId="0" xfId="0" applyNumberFormat="1" applyFont="1" applyAlignment="1">
      <alignment horizontal="left"/>
    </xf>
    <xf numFmtId="166" fontId="23" fillId="0" borderId="0" xfId="0" applyNumberFormat="1" applyFont="1"/>
    <xf numFmtId="166" fontId="33" fillId="0" borderId="0" xfId="0" applyNumberFormat="1" applyFont="1" applyAlignment="1">
      <alignment vertical="center"/>
    </xf>
    <xf numFmtId="166" fontId="33" fillId="0" borderId="0" xfId="1" applyNumberFormat="1" applyFont="1" applyFill="1" applyAlignment="1">
      <alignment horizontal="left" vertical="center"/>
    </xf>
    <xf numFmtId="164" fontId="0" fillId="0" borderId="0" xfId="0" applyNumberFormat="1"/>
    <xf numFmtId="0" fontId="20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66" fontId="34" fillId="0" borderId="0" xfId="0" applyNumberFormat="1" applyFont="1" applyAlignment="1">
      <alignment horizontal="center" vertical="center"/>
    </xf>
    <xf numFmtId="9" fontId="1" fillId="0" borderId="0" xfId="1" applyFont="1" applyAlignment="1"/>
    <xf numFmtId="9" fontId="1" fillId="0" borderId="0" xfId="1" applyFont="1" applyFill="1" applyAlignment="1"/>
    <xf numFmtId="9" fontId="1" fillId="0" borderId="0" xfId="1" applyFont="1"/>
    <xf numFmtId="0" fontId="0" fillId="0" borderId="60" xfId="0" applyBorder="1"/>
    <xf numFmtId="0" fontId="0" fillId="0" borderId="59" xfId="0" applyBorder="1"/>
    <xf numFmtId="166" fontId="0" fillId="0" borderId="59" xfId="0" applyNumberFormat="1" applyBorder="1"/>
    <xf numFmtId="0" fontId="0" fillId="0" borderId="0" xfId="0" applyAlignment="1">
      <alignment horizontal="center" vertical="center"/>
    </xf>
    <xf numFmtId="0" fontId="37" fillId="0" borderId="0" xfId="0" applyFont="1"/>
    <xf numFmtId="0" fontId="39" fillId="0" borderId="0" xfId="0" applyFont="1"/>
    <xf numFmtId="0" fontId="38" fillId="0" borderId="0" xfId="0" applyFont="1" applyAlignment="1">
      <alignment horizontal="center" vertical="center"/>
    </xf>
    <xf numFmtId="0" fontId="0" fillId="11" borderId="0" xfId="0" applyFill="1"/>
    <xf numFmtId="0" fontId="36" fillId="7" borderId="3" xfId="0" applyFont="1" applyFill="1" applyBorder="1" applyAlignment="1">
      <alignment horizontal="left" vertical="center" indent="1"/>
    </xf>
    <xf numFmtId="0" fontId="36" fillId="2" borderId="0" xfId="0" applyFont="1" applyFill="1" applyAlignment="1">
      <alignment horizontal="left" vertical="center" indent="1"/>
    </xf>
    <xf numFmtId="0" fontId="36" fillId="2" borderId="3" xfId="0" applyFont="1" applyFill="1" applyBorder="1" applyAlignment="1">
      <alignment horizontal="left" vertical="center" indent="1"/>
    </xf>
    <xf numFmtId="0" fontId="36" fillId="10" borderId="0" xfId="0" applyFont="1" applyFill="1" applyAlignment="1">
      <alignment horizontal="left" vertical="center" indent="1"/>
    </xf>
    <xf numFmtId="0" fontId="36" fillId="6" borderId="0" xfId="0" applyFont="1" applyFill="1" applyAlignment="1">
      <alignment horizontal="left" vertical="center" indent="1"/>
    </xf>
    <xf numFmtId="0" fontId="40" fillId="0" borderId="0" xfId="0" applyFont="1" applyAlignment="1">
      <alignment horizontal="center" vertical="center" wrapText="1"/>
    </xf>
    <xf numFmtId="10" fontId="0" fillId="2" borderId="3" xfId="1" applyNumberFormat="1" applyFont="1" applyFill="1" applyBorder="1" applyAlignment="1">
      <alignment horizontal="right" vertical="center"/>
    </xf>
    <xf numFmtId="10" fontId="0" fillId="2" borderId="0" xfId="1" applyNumberFormat="1" applyFont="1" applyFill="1" applyAlignment="1">
      <alignment horizontal="right"/>
    </xf>
    <xf numFmtId="10" fontId="0" fillId="0" borderId="0" xfId="1" applyNumberFormat="1" applyFont="1" applyAlignment="1">
      <alignment horizontal="right"/>
    </xf>
    <xf numFmtId="10" fontId="0" fillId="2" borderId="3" xfId="1" applyNumberFormat="1" applyFont="1" applyFill="1" applyBorder="1" applyAlignment="1">
      <alignment horizontal="right"/>
    </xf>
    <xf numFmtId="10" fontId="0" fillId="10" borderId="0" xfId="1" applyNumberFormat="1" applyFont="1" applyFill="1" applyAlignment="1">
      <alignment horizontal="right"/>
    </xf>
    <xf numFmtId="10" fontId="0" fillId="6" borderId="0" xfId="1" applyNumberFormat="1" applyFont="1" applyFill="1" applyAlignment="1">
      <alignment horizontal="right"/>
    </xf>
    <xf numFmtId="0" fontId="36" fillId="7" borderId="3" xfId="0" applyFont="1" applyFill="1" applyBorder="1" applyAlignment="1">
      <alignment horizontal="right" vertical="center" wrapText="1"/>
    </xf>
    <xf numFmtId="10" fontId="0" fillId="6" borderId="0" xfId="0" applyNumberFormat="1" applyFill="1" applyAlignment="1">
      <alignment horizontal="right"/>
    </xf>
    <xf numFmtId="10" fontId="0" fillId="0" borderId="0" xfId="0" applyNumberFormat="1" applyAlignment="1">
      <alignment horizontal="right"/>
    </xf>
    <xf numFmtId="2" fontId="0" fillId="6" borderId="0" xfId="0" applyNumberFormat="1" applyFill="1" applyAlignment="1">
      <alignment horizontal="right"/>
    </xf>
    <xf numFmtId="10" fontId="0" fillId="10" borderId="0" xfId="1" applyNumberFormat="1" applyFont="1" applyFill="1" applyBorder="1" applyAlignment="1">
      <alignment horizontal="right" vertical="center"/>
    </xf>
    <xf numFmtId="0" fontId="3" fillId="2" borderId="0" xfId="0" applyFont="1" applyFill="1" applyAlignment="1">
      <alignment horizontal="left" vertical="center"/>
    </xf>
    <xf numFmtId="10" fontId="1" fillId="2" borderId="0" xfId="1" applyNumberFormat="1" applyFont="1" applyFill="1" applyBorder="1" applyAlignment="1">
      <alignment horizontal="right" vertical="center"/>
    </xf>
    <xf numFmtId="10" fontId="0" fillId="2" borderId="0" xfId="1" applyNumberFormat="1" applyFont="1" applyFill="1" applyBorder="1" applyAlignment="1">
      <alignment horizontal="right" vertical="center"/>
    </xf>
    <xf numFmtId="0" fontId="3" fillId="2" borderId="3" xfId="0" applyFont="1" applyFill="1" applyBorder="1" applyAlignment="1">
      <alignment horizontal="left" vertical="center"/>
    </xf>
    <xf numFmtId="10" fontId="0" fillId="0" borderId="3" xfId="1" applyNumberFormat="1" applyFont="1" applyFill="1" applyBorder="1" applyAlignment="1">
      <alignment horizontal="right" vertical="center"/>
    </xf>
    <xf numFmtId="10" fontId="1" fillId="2" borderId="3" xfId="1" applyNumberFormat="1" applyFont="1" applyFill="1" applyBorder="1" applyAlignment="1">
      <alignment horizontal="right" vertical="center"/>
    </xf>
    <xf numFmtId="1" fontId="0" fillId="0" borderId="3" xfId="1" applyNumberFormat="1" applyFont="1" applyFill="1" applyBorder="1" applyAlignment="1">
      <alignment horizontal="center" vertical="center"/>
    </xf>
    <xf numFmtId="9" fontId="0" fillId="0" borderId="3" xfId="1" applyFont="1" applyFill="1" applyBorder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3" fillId="2" borderId="15" xfId="0" applyFont="1" applyFill="1" applyBorder="1" applyAlignment="1">
      <alignment horizontal="left" vertical="center"/>
    </xf>
    <xf numFmtId="10" fontId="0" fillId="0" borderId="15" xfId="1" applyNumberFormat="1" applyFont="1" applyFill="1" applyBorder="1" applyAlignment="1">
      <alignment horizontal="right" vertical="center"/>
    </xf>
    <xf numFmtId="10" fontId="1" fillId="2" borderId="15" xfId="1" applyNumberFormat="1" applyFont="1" applyFill="1" applyBorder="1" applyAlignment="1">
      <alignment horizontal="right" vertical="center"/>
    </xf>
    <xf numFmtId="10" fontId="0" fillId="2" borderId="15" xfId="1" applyNumberFormat="1" applyFont="1" applyFill="1" applyBorder="1" applyAlignment="1">
      <alignment horizontal="right" vertical="center"/>
    </xf>
    <xf numFmtId="1" fontId="0" fillId="0" borderId="15" xfId="1" applyNumberFormat="1" applyFont="1" applyFill="1" applyBorder="1" applyAlignment="1">
      <alignment horizontal="center" vertical="center"/>
    </xf>
    <xf numFmtId="9" fontId="0" fillId="0" borderId="15" xfId="1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164" fontId="0" fillId="10" borderId="3" xfId="0" applyNumberFormat="1" applyFill="1" applyBorder="1" applyAlignment="1">
      <alignment horizontal="right" vertical="center"/>
    </xf>
    <xf numFmtId="1" fontId="0" fillId="0" borderId="3" xfId="0" applyNumberFormat="1" applyBorder="1" applyAlignment="1">
      <alignment horizontal="center" vertical="center"/>
    </xf>
    <xf numFmtId="0" fontId="36" fillId="10" borderId="3" xfId="0" applyFont="1" applyFill="1" applyBorder="1" applyAlignment="1">
      <alignment horizontal="left" vertical="center" indent="1"/>
    </xf>
    <xf numFmtId="10" fontId="0" fillId="10" borderId="3" xfId="1" applyNumberFormat="1" applyFont="1" applyFill="1" applyBorder="1" applyAlignment="1">
      <alignment horizontal="right"/>
    </xf>
    <xf numFmtId="0" fontId="42" fillId="0" borderId="0" xfId="0" applyFont="1" applyAlignment="1">
      <alignment vertical="center"/>
    </xf>
    <xf numFmtId="164" fontId="43" fillId="6" borderId="23" xfId="1" applyNumberFormat="1" applyFont="1" applyFill="1" applyBorder="1" applyAlignment="1">
      <alignment horizontal="center" vertical="center"/>
    </xf>
    <xf numFmtId="164" fontId="44" fillId="0" borderId="0" xfId="1" applyNumberFormat="1" applyFont="1" applyAlignment="1">
      <alignment horizontal="center" vertical="center"/>
    </xf>
    <xf numFmtId="164" fontId="43" fillId="6" borderId="23" xfId="0" applyNumberFormat="1" applyFont="1" applyFill="1" applyBorder="1" applyAlignment="1">
      <alignment horizontal="center" vertical="center"/>
    </xf>
    <xf numFmtId="164" fontId="44" fillId="0" borderId="0" xfId="0" applyNumberFormat="1" applyFont="1" applyAlignment="1">
      <alignment horizontal="center" vertical="center"/>
    </xf>
    <xf numFmtId="2" fontId="43" fillId="6" borderId="23" xfId="0" applyNumberFormat="1" applyFont="1" applyFill="1" applyBorder="1" applyAlignment="1">
      <alignment horizontal="center" vertical="center"/>
    </xf>
    <xf numFmtId="2" fontId="44" fillId="0" borderId="0" xfId="0" applyNumberFormat="1" applyFont="1" applyAlignment="1">
      <alignment horizontal="center" vertical="center"/>
    </xf>
    <xf numFmtId="0" fontId="43" fillId="6" borderId="0" xfId="0" applyFont="1" applyFill="1" applyAlignment="1">
      <alignment horizontal="left" vertical="center"/>
    </xf>
    <xf numFmtId="0" fontId="43" fillId="6" borderId="0" xfId="0" applyFont="1" applyFill="1" applyAlignment="1">
      <alignment horizontal="right" vertical="center"/>
    </xf>
    <xf numFmtId="0" fontId="0" fillId="12" borderId="0" xfId="0" applyFill="1"/>
    <xf numFmtId="0" fontId="11" fillId="13" borderId="0" xfId="0" applyFont="1" applyFill="1" applyAlignment="1">
      <alignment vertical="center" wrapText="1"/>
    </xf>
    <xf numFmtId="0" fontId="25" fillId="12" borderId="0" xfId="0" applyFont="1" applyFill="1" applyAlignment="1">
      <alignment horizontal="center" vertical="center"/>
    </xf>
    <xf numFmtId="0" fontId="43" fillId="12" borderId="0" xfId="0" applyFont="1" applyFill="1" applyAlignment="1">
      <alignment vertical="center"/>
    </xf>
    <xf numFmtId="0" fontId="25" fillId="11" borderId="0" xfId="0" applyFont="1" applyFill="1" applyAlignment="1">
      <alignment horizontal="center" vertical="center"/>
    </xf>
    <xf numFmtId="0" fontId="43" fillId="11" borderId="0" xfId="0" applyFont="1" applyFill="1" applyAlignment="1">
      <alignment vertical="center"/>
    </xf>
    <xf numFmtId="0" fontId="11" fillId="13" borderId="65" xfId="0" applyFont="1" applyFill="1" applyBorder="1" applyAlignment="1">
      <alignment horizontal="center" vertical="center" wrapText="1"/>
    </xf>
    <xf numFmtId="0" fontId="11" fillId="13" borderId="66" xfId="0" applyFont="1" applyFill="1" applyBorder="1" applyAlignment="1">
      <alignment horizontal="center" vertical="center" wrapText="1"/>
    </xf>
    <xf numFmtId="0" fontId="11" fillId="13" borderId="67" xfId="0" applyFont="1" applyFill="1" applyBorder="1" applyAlignment="1">
      <alignment horizontal="center" vertical="center" wrapText="1"/>
    </xf>
    <xf numFmtId="164" fontId="43" fillId="6" borderId="68" xfId="1" applyNumberFormat="1" applyFont="1" applyFill="1" applyBorder="1" applyAlignment="1">
      <alignment horizontal="center" vertical="center"/>
    </xf>
    <xf numFmtId="164" fontId="43" fillId="6" borderId="69" xfId="1" applyNumberFormat="1" applyFont="1" applyFill="1" applyBorder="1" applyAlignment="1">
      <alignment horizontal="center" vertical="center"/>
    </xf>
    <xf numFmtId="164" fontId="43" fillId="6" borderId="68" xfId="0" applyNumberFormat="1" applyFont="1" applyFill="1" applyBorder="1" applyAlignment="1">
      <alignment horizontal="center" vertical="center"/>
    </xf>
    <xf numFmtId="164" fontId="43" fillId="6" borderId="69" xfId="0" applyNumberFormat="1" applyFont="1" applyFill="1" applyBorder="1" applyAlignment="1">
      <alignment horizontal="center" vertical="center"/>
    </xf>
    <xf numFmtId="2" fontId="43" fillId="6" borderId="68" xfId="0" applyNumberFormat="1" applyFont="1" applyFill="1" applyBorder="1" applyAlignment="1">
      <alignment horizontal="center" vertical="center"/>
    </xf>
    <xf numFmtId="2" fontId="43" fillId="6" borderId="69" xfId="0" applyNumberFormat="1" applyFont="1" applyFill="1" applyBorder="1" applyAlignment="1">
      <alignment horizontal="center" vertical="center"/>
    </xf>
    <xf numFmtId="0" fontId="0" fillId="0" borderId="72" xfId="0" applyBorder="1"/>
    <xf numFmtId="0" fontId="0" fillId="0" borderId="69" xfId="0" applyBorder="1"/>
    <xf numFmtId="0" fontId="0" fillId="12" borderId="72" xfId="0" applyFill="1" applyBorder="1"/>
    <xf numFmtId="0" fontId="0" fillId="12" borderId="69" xfId="0" applyFill="1" applyBorder="1"/>
    <xf numFmtId="0" fontId="25" fillId="12" borderId="72" xfId="0" applyFont="1" applyFill="1" applyBorder="1" applyAlignment="1">
      <alignment horizontal="center" vertical="center"/>
    </xf>
    <xf numFmtId="0" fontId="25" fillId="12" borderId="69" xfId="0" applyFont="1" applyFill="1" applyBorder="1" applyAlignment="1">
      <alignment vertical="center"/>
    </xf>
    <xf numFmtId="0" fontId="49" fillId="12" borderId="72" xfId="0" applyFont="1" applyFill="1" applyBorder="1" applyAlignment="1">
      <alignment horizontal="right" indent="1"/>
    </xf>
    <xf numFmtId="0" fontId="51" fillId="12" borderId="72" xfId="0" applyFont="1" applyFill="1" applyBorder="1" applyAlignment="1">
      <alignment horizontal="right" indent="1"/>
    </xf>
    <xf numFmtId="0" fontId="50" fillId="12" borderId="72" xfId="0" applyFont="1" applyFill="1" applyBorder="1" applyAlignment="1">
      <alignment horizontal="right" indent="1"/>
    </xf>
    <xf numFmtId="0" fontId="43" fillId="12" borderId="72" xfId="0" applyFont="1" applyFill="1" applyBorder="1" applyAlignment="1">
      <alignment vertical="center"/>
    </xf>
    <xf numFmtId="0" fontId="43" fillId="12" borderId="69" xfId="0" applyFont="1" applyFill="1" applyBorder="1" applyAlignment="1">
      <alignment vertical="center"/>
    </xf>
    <xf numFmtId="0" fontId="0" fillId="11" borderId="72" xfId="0" applyFill="1" applyBorder="1"/>
    <xf numFmtId="0" fontId="0" fillId="11" borderId="69" xfId="0" applyFill="1" applyBorder="1"/>
    <xf numFmtId="0" fontId="25" fillId="11" borderId="72" xfId="0" applyFont="1" applyFill="1" applyBorder="1" applyAlignment="1">
      <alignment horizontal="center" vertical="center"/>
    </xf>
    <xf numFmtId="0" fontId="25" fillId="11" borderId="69" xfId="0" applyFont="1" applyFill="1" applyBorder="1" applyAlignment="1">
      <alignment vertical="center"/>
    </xf>
    <xf numFmtId="0" fontId="49" fillId="11" borderId="72" xfId="0" applyFont="1" applyFill="1" applyBorder="1" applyAlignment="1">
      <alignment horizontal="right" indent="1"/>
    </xf>
    <xf numFmtId="0" fontId="51" fillId="11" borderId="72" xfId="0" applyFont="1" applyFill="1" applyBorder="1" applyAlignment="1">
      <alignment horizontal="right" indent="1"/>
    </xf>
    <xf numFmtId="0" fontId="50" fillId="11" borderId="72" xfId="0" applyFont="1" applyFill="1" applyBorder="1" applyAlignment="1">
      <alignment horizontal="right" indent="1"/>
    </xf>
    <xf numFmtId="0" fontId="43" fillId="11" borderId="72" xfId="0" applyFont="1" applyFill="1" applyBorder="1" applyAlignment="1">
      <alignment vertical="center"/>
    </xf>
    <xf numFmtId="0" fontId="43" fillId="11" borderId="69" xfId="0" applyFont="1" applyFill="1" applyBorder="1" applyAlignment="1">
      <alignment vertical="center"/>
    </xf>
    <xf numFmtId="0" fontId="11" fillId="13" borderId="76" xfId="0" applyFont="1" applyFill="1" applyBorder="1" applyAlignment="1">
      <alignment horizontal="center" vertical="center" wrapText="1"/>
    </xf>
    <xf numFmtId="0" fontId="11" fillId="13" borderId="77" xfId="0" applyFont="1" applyFill="1" applyBorder="1" applyAlignment="1">
      <alignment horizontal="center" vertical="center" wrapText="1"/>
    </xf>
    <xf numFmtId="0" fontId="11" fillId="13" borderId="78" xfId="0" applyFont="1" applyFill="1" applyBorder="1" applyAlignment="1">
      <alignment horizontal="center" vertical="center" wrapText="1"/>
    </xf>
    <xf numFmtId="164" fontId="43" fillId="6" borderId="79" xfId="1" applyNumberFormat="1" applyFont="1" applyFill="1" applyBorder="1" applyAlignment="1">
      <alignment horizontal="center" vertical="center"/>
    </xf>
    <xf numFmtId="164" fontId="43" fillId="6" borderId="80" xfId="1" applyNumberFormat="1" applyFont="1" applyFill="1" applyBorder="1" applyAlignment="1">
      <alignment horizontal="center" vertical="center"/>
    </xf>
    <xf numFmtId="164" fontId="43" fillId="6" borderId="79" xfId="0" applyNumberFormat="1" applyFont="1" applyFill="1" applyBorder="1" applyAlignment="1">
      <alignment horizontal="center" vertical="center"/>
    </xf>
    <xf numFmtId="164" fontId="43" fillId="6" borderId="80" xfId="0" applyNumberFormat="1" applyFont="1" applyFill="1" applyBorder="1" applyAlignment="1">
      <alignment horizontal="center" vertical="center"/>
    </xf>
    <xf numFmtId="2" fontId="43" fillId="6" borderId="79" xfId="0" applyNumberFormat="1" applyFont="1" applyFill="1" applyBorder="1" applyAlignment="1">
      <alignment horizontal="center" vertical="center"/>
    </xf>
    <xf numFmtId="2" fontId="43" fillId="6" borderId="80" xfId="0" applyNumberFormat="1" applyFont="1" applyFill="1" applyBorder="1" applyAlignment="1">
      <alignment horizontal="center" vertical="center"/>
    </xf>
    <xf numFmtId="0" fontId="0" fillId="0" borderId="83" xfId="0" applyBorder="1"/>
    <xf numFmtId="0" fontId="0" fillId="0" borderId="80" xfId="0" applyBorder="1"/>
    <xf numFmtId="0" fontId="0" fillId="12" borderId="83" xfId="0" applyFill="1" applyBorder="1"/>
    <xf numFmtId="0" fontId="0" fillId="12" borderId="80" xfId="0" applyFill="1" applyBorder="1"/>
    <xf numFmtId="0" fontId="49" fillId="12" borderId="83" xfId="0" applyFont="1" applyFill="1" applyBorder="1" applyAlignment="1">
      <alignment horizontal="right" indent="1"/>
    </xf>
    <xf numFmtId="0" fontId="51" fillId="12" borderId="83" xfId="0" applyFont="1" applyFill="1" applyBorder="1" applyAlignment="1">
      <alignment horizontal="right" indent="1"/>
    </xf>
    <xf numFmtId="0" fontId="50" fillId="12" borderId="83" xfId="0" applyFont="1" applyFill="1" applyBorder="1" applyAlignment="1">
      <alignment horizontal="right" indent="1"/>
    </xf>
    <xf numFmtId="0" fontId="0" fillId="11" borderId="83" xfId="0" applyFill="1" applyBorder="1"/>
    <xf numFmtId="0" fontId="0" fillId="11" borderId="80" xfId="0" applyFill="1" applyBorder="1"/>
    <xf numFmtId="0" fontId="49" fillId="11" borderId="83" xfId="0" applyFont="1" applyFill="1" applyBorder="1" applyAlignment="1">
      <alignment horizontal="right" indent="1"/>
    </xf>
    <xf numFmtId="0" fontId="51" fillId="11" borderId="83" xfId="0" applyFont="1" applyFill="1" applyBorder="1" applyAlignment="1">
      <alignment horizontal="right" indent="1"/>
    </xf>
    <xf numFmtId="0" fontId="50" fillId="11" borderId="83" xfId="0" applyFont="1" applyFill="1" applyBorder="1" applyAlignment="1">
      <alignment horizontal="right" indent="1"/>
    </xf>
    <xf numFmtId="0" fontId="55" fillId="0" borderId="0" xfId="0" applyFont="1" applyAlignment="1">
      <alignment horizontal="left"/>
    </xf>
    <xf numFmtId="0" fontId="10" fillId="6" borderId="0" xfId="0" applyFont="1" applyFill="1" applyAlignment="1">
      <alignment horizontal="left" vertical="center"/>
    </xf>
    <xf numFmtId="9" fontId="27" fillId="0" borderId="15" xfId="0" applyNumberFormat="1" applyFont="1" applyBorder="1"/>
    <xf numFmtId="9" fontId="0" fillId="0" borderId="0" xfId="1" applyFont="1"/>
    <xf numFmtId="0" fontId="9" fillId="0" borderId="0" xfId="0" applyFont="1" applyAlignment="1">
      <alignment vertical="center" wrapText="1"/>
    </xf>
    <xf numFmtId="0" fontId="0" fillId="0" borderId="15" xfId="0" applyBorder="1"/>
    <xf numFmtId="9" fontId="0" fillId="0" borderId="15" xfId="1" applyFont="1" applyBorder="1"/>
    <xf numFmtId="0" fontId="7" fillId="13" borderId="87" xfId="0" applyFont="1" applyFill="1" applyBorder="1" applyAlignment="1">
      <alignment vertical="center" wrapText="1"/>
    </xf>
    <xf numFmtId="0" fontId="0" fillId="0" borderId="87" xfId="0" applyBorder="1" applyAlignment="1">
      <alignment horizontal="right" vertical="center" wrapText="1"/>
    </xf>
    <xf numFmtId="0" fontId="7" fillId="0" borderId="0" xfId="0" applyFont="1" applyAlignment="1">
      <alignment vertical="center" wrapText="1"/>
    </xf>
    <xf numFmtId="0" fontId="27" fillId="0" borderId="0" xfId="0" applyFont="1" applyAlignment="1">
      <alignment horizontal="right" indent="1"/>
    </xf>
    <xf numFmtId="0" fontId="27" fillId="0" borderId="0" xfId="0" applyFont="1" applyAlignment="1">
      <alignment horizontal="right"/>
    </xf>
    <xf numFmtId="0" fontId="27" fillId="0" borderId="0" xfId="0" applyFont="1"/>
    <xf numFmtId="9" fontId="0" fillId="0" borderId="0" xfId="1" applyFont="1" applyBorder="1"/>
    <xf numFmtId="0" fontId="32" fillId="0" borderId="0" xfId="0" applyFont="1" applyAlignment="1">
      <alignment horizontal="left" indent="1"/>
    </xf>
    <xf numFmtId="0" fontId="32" fillId="0" borderId="15" xfId="0" applyFont="1" applyBorder="1" applyAlignment="1">
      <alignment horizontal="left" indent="1"/>
    </xf>
    <xf numFmtId="0" fontId="32" fillId="0" borderId="3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3" xfId="0" applyFont="1" applyBorder="1" applyAlignment="1">
      <alignment horizontal="left" indent="1"/>
    </xf>
    <xf numFmtId="0" fontId="11" fillId="13" borderId="89" xfId="0" applyFont="1" applyFill="1" applyBorder="1" applyAlignment="1">
      <alignment horizontal="center" vertical="center" wrapText="1"/>
    </xf>
    <xf numFmtId="164" fontId="0" fillId="0" borderId="0" xfId="1" applyNumberFormat="1" applyFont="1" applyBorder="1" applyAlignment="1">
      <alignment horizontal="center" vertical="center"/>
    </xf>
    <xf numFmtId="164" fontId="0" fillId="0" borderId="3" xfId="1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0" fillId="6" borderId="0" xfId="0" applyFill="1" applyAlignment="1">
      <alignment vertical="center"/>
    </xf>
    <xf numFmtId="164" fontId="0" fillId="6" borderId="0" xfId="1" applyNumberFormat="1" applyFont="1" applyFill="1" applyBorder="1" applyAlignment="1">
      <alignment horizontal="center" vertical="center"/>
    </xf>
    <xf numFmtId="0" fontId="37" fillId="0" borderId="14" xfId="0" applyFont="1" applyBorder="1"/>
    <xf numFmtId="0" fontId="37" fillId="0" borderId="15" xfId="0" applyFont="1" applyBorder="1"/>
    <xf numFmtId="0" fontId="37" fillId="0" borderId="16" xfId="0" applyFont="1" applyBorder="1"/>
    <xf numFmtId="0" fontId="11" fillId="13" borderId="90" xfId="0" applyFont="1" applyFill="1" applyBorder="1" applyAlignment="1">
      <alignment horizontal="center" vertical="center" wrapText="1"/>
    </xf>
    <xf numFmtId="0" fontId="11" fillId="13" borderId="9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3" fillId="0" borderId="1" xfId="0" applyFont="1" applyBorder="1" applyAlignment="1">
      <alignment vertical="center"/>
    </xf>
    <xf numFmtId="164" fontId="0" fillId="0" borderId="2" xfId="1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164" fontId="0" fillId="6" borderId="2" xfId="1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164" fontId="0" fillId="0" borderId="18" xfId="1" applyNumberFormat="1" applyFont="1" applyBorder="1" applyAlignment="1">
      <alignment horizontal="center" vertical="center"/>
    </xf>
    <xf numFmtId="0" fontId="42" fillId="0" borderId="0" xfId="0" applyFont="1"/>
    <xf numFmtId="0" fontId="23" fillId="6" borderId="57" xfId="0" applyFont="1" applyFill="1" applyBorder="1" applyAlignment="1">
      <alignment vertical="center"/>
    </xf>
    <xf numFmtId="0" fontId="23" fillId="6" borderId="4" xfId="0" applyFont="1" applyFill="1" applyBorder="1" applyAlignment="1">
      <alignment vertical="center"/>
    </xf>
    <xf numFmtId="0" fontId="0" fillId="0" borderId="101" xfId="0" applyBorder="1"/>
    <xf numFmtId="0" fontId="0" fillId="0" borderId="102" xfId="0" applyBorder="1"/>
    <xf numFmtId="0" fontId="0" fillId="0" borderId="103" xfId="0" applyBorder="1"/>
    <xf numFmtId="0" fontId="14" fillId="0" borderId="104" xfId="0" applyFont="1" applyBorder="1"/>
    <xf numFmtId="9" fontId="12" fillId="0" borderId="63" xfId="1" applyFont="1" applyBorder="1" applyAlignment="1">
      <alignment horizontal="center"/>
    </xf>
    <xf numFmtId="0" fontId="59" fillId="0" borderId="92" xfId="0" applyFont="1" applyBorder="1"/>
    <xf numFmtId="9" fontId="43" fillId="0" borderId="93" xfId="1" applyFont="1" applyBorder="1" applyAlignment="1">
      <alignment horizontal="center"/>
    </xf>
    <xf numFmtId="9" fontId="10" fillId="0" borderId="94" xfId="1" applyFont="1" applyBorder="1" applyAlignment="1">
      <alignment horizontal="center"/>
    </xf>
    <xf numFmtId="0" fontId="59" fillId="0" borderId="95" xfId="0" applyFont="1" applyBorder="1"/>
    <xf numFmtId="9" fontId="43" fillId="0" borderId="96" xfId="1" applyFont="1" applyBorder="1" applyAlignment="1">
      <alignment horizontal="center"/>
    </xf>
    <xf numFmtId="9" fontId="10" fillId="0" borderId="97" xfId="1" applyFont="1" applyBorder="1" applyAlignment="1">
      <alignment horizontal="center"/>
    </xf>
    <xf numFmtId="9" fontId="43" fillId="0" borderId="0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0" fontId="59" fillId="0" borderId="98" xfId="0" applyFont="1" applyBorder="1"/>
    <xf numFmtId="9" fontId="43" fillId="0" borderId="99" xfId="1" applyFont="1" applyBorder="1" applyAlignment="1">
      <alignment horizontal="center"/>
    </xf>
    <xf numFmtId="9" fontId="10" fillId="0" borderId="100" xfId="1" applyFont="1" applyBorder="1" applyAlignment="1">
      <alignment horizontal="center"/>
    </xf>
    <xf numFmtId="9" fontId="10" fillId="0" borderId="105" xfId="1" applyFont="1" applyBorder="1" applyAlignment="1">
      <alignment horizontal="center"/>
    </xf>
    <xf numFmtId="0" fontId="59" fillId="0" borderId="17" xfId="0" applyFont="1" applyBorder="1"/>
    <xf numFmtId="9" fontId="43" fillId="0" borderId="3" xfId="1" applyFont="1" applyBorder="1" applyAlignment="1">
      <alignment horizontal="center"/>
    </xf>
    <xf numFmtId="9" fontId="10" fillId="0" borderId="18" xfId="1" applyFont="1" applyBorder="1" applyAlignment="1">
      <alignment horizontal="center"/>
    </xf>
    <xf numFmtId="9" fontId="7" fillId="0" borderId="105" xfId="1" applyFont="1" applyBorder="1" applyAlignment="1">
      <alignment horizontal="center"/>
    </xf>
    <xf numFmtId="0" fontId="0" fillId="8" borderId="72" xfId="0" applyFill="1" applyBorder="1"/>
    <xf numFmtId="0" fontId="0" fillId="8" borderId="0" xfId="0" applyFill="1"/>
    <xf numFmtId="0" fontId="0" fillId="8" borderId="69" xfId="0" applyFill="1" applyBorder="1"/>
    <xf numFmtId="0" fontId="0" fillId="8" borderId="83" xfId="0" applyFill="1" applyBorder="1"/>
    <xf numFmtId="0" fontId="0" fillId="8" borderId="80" xfId="0" applyFill="1" applyBorder="1"/>
    <xf numFmtId="0" fontId="25" fillId="8" borderId="72" xfId="0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0" fontId="25" fillId="8" borderId="69" xfId="0" applyFont="1" applyFill="1" applyBorder="1" applyAlignment="1">
      <alignment vertical="center"/>
    </xf>
    <xf numFmtId="0" fontId="49" fillId="8" borderId="72" xfId="0" applyFont="1" applyFill="1" applyBorder="1" applyAlignment="1">
      <alignment horizontal="right" indent="1"/>
    </xf>
    <xf numFmtId="0" fontId="49" fillId="8" borderId="83" xfId="0" applyFont="1" applyFill="1" applyBorder="1" applyAlignment="1">
      <alignment horizontal="right" indent="1"/>
    </xf>
    <xf numFmtId="0" fontId="51" fillId="8" borderId="72" xfId="0" applyFont="1" applyFill="1" applyBorder="1" applyAlignment="1">
      <alignment horizontal="right" indent="1"/>
    </xf>
    <xf numFmtId="0" fontId="51" fillId="8" borderId="83" xfId="0" applyFont="1" applyFill="1" applyBorder="1" applyAlignment="1">
      <alignment horizontal="right" indent="1"/>
    </xf>
    <xf numFmtId="0" fontId="50" fillId="8" borderId="72" xfId="0" applyFont="1" applyFill="1" applyBorder="1" applyAlignment="1">
      <alignment horizontal="right" indent="1"/>
    </xf>
    <xf numFmtId="0" fontId="50" fillId="8" borderId="83" xfId="0" applyFont="1" applyFill="1" applyBorder="1" applyAlignment="1">
      <alignment horizontal="right" indent="1"/>
    </xf>
    <xf numFmtId="0" fontId="43" fillId="8" borderId="73" xfId="0" applyFont="1" applyFill="1" applyBorder="1" applyAlignment="1">
      <alignment vertical="center"/>
    </xf>
    <xf numFmtId="0" fontId="43" fillId="8" borderId="74" xfId="0" applyFont="1" applyFill="1" applyBorder="1" applyAlignment="1">
      <alignment vertical="center"/>
    </xf>
    <xf numFmtId="0" fontId="43" fillId="8" borderId="75" xfId="0" applyFont="1" applyFill="1" applyBorder="1" applyAlignment="1">
      <alignment vertical="center"/>
    </xf>
    <xf numFmtId="0" fontId="0" fillId="8" borderId="84" xfId="0" applyFill="1" applyBorder="1"/>
    <xf numFmtId="0" fontId="0" fillId="8" borderId="85" xfId="0" applyFill="1" applyBorder="1"/>
    <xf numFmtId="0" fontId="0" fillId="8" borderId="86" xfId="0" applyFill="1" applyBorder="1"/>
    <xf numFmtId="0" fontId="28" fillId="13" borderId="0" xfId="0" applyFont="1" applyFill="1" applyAlignment="1">
      <alignment horizontal="left" vertical="center"/>
    </xf>
    <xf numFmtId="164" fontId="9" fillId="13" borderId="0" xfId="1" applyNumberFormat="1" applyFont="1" applyFill="1" applyBorder="1" applyAlignment="1">
      <alignment horizontal="right" vertical="center"/>
    </xf>
    <xf numFmtId="0" fontId="7" fillId="13" borderId="22" xfId="0" applyFont="1" applyFill="1" applyBorder="1" applyAlignment="1">
      <alignment horizontal="center" vertical="center" wrapText="1"/>
    </xf>
    <xf numFmtId="0" fontId="7" fillId="13" borderId="24" xfId="0" applyFont="1" applyFill="1" applyBorder="1" applyAlignment="1">
      <alignment horizontal="center" vertical="center" wrapText="1"/>
    </xf>
    <xf numFmtId="0" fontId="31" fillId="13" borderId="55" xfId="0" applyFont="1" applyFill="1" applyBorder="1" applyAlignment="1">
      <alignment horizontal="center" vertical="center" wrapText="1"/>
    </xf>
    <xf numFmtId="0" fontId="31" fillId="13" borderId="26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vertical="center"/>
    </xf>
    <xf numFmtId="0" fontId="63" fillId="6" borderId="48" xfId="0" applyFont="1" applyFill="1" applyBorder="1" applyAlignment="1">
      <alignment vertical="center"/>
    </xf>
    <xf numFmtId="0" fontId="63" fillId="6" borderId="26" xfId="0" applyFont="1" applyFill="1" applyBorder="1" applyAlignment="1">
      <alignment vertical="center"/>
    </xf>
    <xf numFmtId="0" fontId="10" fillId="7" borderId="0" xfId="0" applyFont="1" applyFill="1" applyAlignment="1">
      <alignment horizontal="left" vertical="center" indent="1"/>
    </xf>
    <xf numFmtId="0" fontId="42" fillId="0" borderId="22" xfId="0" applyFont="1" applyBorder="1" applyAlignment="1">
      <alignment horizontal="left" vertical="center" indent="1"/>
    </xf>
    <xf numFmtId="164" fontId="42" fillId="7" borderId="22" xfId="1" applyNumberFormat="1" applyFont="1" applyFill="1" applyBorder="1" applyAlignment="1">
      <alignment horizontal="center" vertical="center"/>
    </xf>
    <xf numFmtId="164" fontId="42" fillId="0" borderId="22" xfId="1" applyNumberFormat="1" applyFont="1" applyFill="1" applyBorder="1" applyAlignment="1">
      <alignment horizontal="center" vertical="center"/>
    </xf>
    <xf numFmtId="164" fontId="42" fillId="7" borderId="24" xfId="1" applyNumberFormat="1" applyFont="1" applyFill="1" applyBorder="1" applyAlignment="1">
      <alignment horizontal="center" vertical="center"/>
    </xf>
    <xf numFmtId="164" fontId="64" fillId="7" borderId="56" xfId="1" applyNumberFormat="1" applyFont="1" applyFill="1" applyBorder="1" applyAlignment="1">
      <alignment horizontal="center" vertical="center"/>
    </xf>
    <xf numFmtId="164" fontId="64" fillId="7" borderId="26" xfId="1" applyNumberFormat="1" applyFont="1" applyFill="1" applyBorder="1" applyAlignment="1">
      <alignment horizontal="center" vertical="center"/>
    </xf>
    <xf numFmtId="0" fontId="10" fillId="8" borderId="0" xfId="0" applyFont="1" applyFill="1" applyAlignment="1">
      <alignment horizontal="left" vertical="center" indent="1"/>
    </xf>
    <xf numFmtId="164" fontId="42" fillId="8" borderId="22" xfId="1" applyNumberFormat="1" applyFont="1" applyFill="1" applyBorder="1" applyAlignment="1">
      <alignment horizontal="center" vertical="center"/>
    </xf>
    <xf numFmtId="164" fontId="42" fillId="8" borderId="24" xfId="1" applyNumberFormat="1" applyFont="1" applyFill="1" applyBorder="1" applyAlignment="1">
      <alignment horizontal="center" vertical="center"/>
    </xf>
    <xf numFmtId="164" fontId="64" fillId="8" borderId="56" xfId="1" applyNumberFormat="1" applyFont="1" applyFill="1" applyBorder="1" applyAlignment="1">
      <alignment horizontal="center" vertical="center"/>
    </xf>
    <xf numFmtId="164" fontId="64" fillId="8" borderId="26" xfId="1" applyNumberFormat="1" applyFont="1" applyFill="1" applyBorder="1" applyAlignment="1">
      <alignment horizontal="center" vertical="center"/>
    </xf>
    <xf numFmtId="2" fontId="10" fillId="7" borderId="0" xfId="0" applyNumberFormat="1" applyFont="1" applyFill="1" applyAlignment="1">
      <alignment horizontal="center" vertical="center"/>
    </xf>
    <xf numFmtId="164" fontId="42" fillId="7" borderId="25" xfId="1" applyNumberFormat="1" applyFont="1" applyFill="1" applyBorder="1" applyAlignment="1">
      <alignment horizontal="center" vertical="center"/>
    </xf>
    <xf numFmtId="166" fontId="42" fillId="7" borderId="25" xfId="0" applyNumberFormat="1" applyFont="1" applyFill="1" applyBorder="1" applyAlignment="1">
      <alignment horizontal="center" vertical="center"/>
    </xf>
    <xf numFmtId="2" fontId="42" fillId="8" borderId="0" xfId="0" applyNumberFormat="1" applyFont="1" applyFill="1" applyAlignment="1">
      <alignment horizontal="center" vertical="center"/>
    </xf>
    <xf numFmtId="2" fontId="10" fillId="8" borderId="0" xfId="0" applyNumberFormat="1" applyFont="1" applyFill="1" applyAlignment="1">
      <alignment horizontal="center" vertical="center"/>
    </xf>
    <xf numFmtId="164" fontId="42" fillId="8" borderId="25" xfId="1" applyNumberFormat="1" applyFont="1" applyFill="1" applyBorder="1" applyAlignment="1">
      <alignment horizontal="center" vertical="center"/>
    </xf>
    <xf numFmtId="166" fontId="42" fillId="8" borderId="25" xfId="0" applyNumberFormat="1" applyFont="1" applyFill="1" applyBorder="1" applyAlignment="1">
      <alignment horizontal="center" vertical="center"/>
    </xf>
    <xf numFmtId="2" fontId="42" fillId="7" borderId="0" xfId="0" applyNumberFormat="1" applyFont="1" applyFill="1" applyAlignment="1">
      <alignment horizontal="center" vertical="center"/>
    </xf>
    <xf numFmtId="2" fontId="42" fillId="8" borderId="26" xfId="0" applyNumberFormat="1" applyFont="1" applyFill="1" applyBorder="1" applyAlignment="1">
      <alignment horizontal="center" vertical="center"/>
    </xf>
    <xf numFmtId="2" fontId="10" fillId="7" borderId="26" xfId="0" applyNumberFormat="1" applyFont="1" applyFill="1" applyBorder="1" applyAlignment="1">
      <alignment horizontal="center" vertical="center"/>
    </xf>
    <xf numFmtId="0" fontId="10" fillId="6" borderId="22" xfId="0" applyFont="1" applyFill="1" applyBorder="1" applyAlignment="1">
      <alignment vertical="center"/>
    </xf>
    <xf numFmtId="0" fontId="10" fillId="0" borderId="22" xfId="0" applyFont="1" applyBorder="1" applyAlignment="1">
      <alignment vertical="center"/>
    </xf>
    <xf numFmtId="164" fontId="10" fillId="6" borderId="0" xfId="1" applyNumberFormat="1" applyFont="1" applyFill="1" applyAlignment="1">
      <alignment horizontal="right" vertical="center" indent="1"/>
    </xf>
    <xf numFmtId="164" fontId="10" fillId="0" borderId="0" xfId="1" applyNumberFormat="1" applyFont="1" applyFill="1" applyAlignment="1">
      <alignment horizontal="right" vertical="center" indent="1"/>
    </xf>
    <xf numFmtId="164" fontId="10" fillId="6" borderId="35" xfId="1" applyNumberFormat="1" applyFont="1" applyFill="1" applyBorder="1" applyAlignment="1">
      <alignment horizontal="right" vertical="center" indent="1"/>
    </xf>
    <xf numFmtId="164" fontId="10" fillId="0" borderId="22" xfId="1" applyNumberFormat="1" applyFont="1" applyFill="1" applyBorder="1" applyAlignment="1">
      <alignment horizontal="right" vertical="center" indent="1"/>
    </xf>
    <xf numFmtId="164" fontId="10" fillId="6" borderId="23" xfId="1" applyNumberFormat="1" applyFont="1" applyFill="1" applyBorder="1" applyAlignment="1">
      <alignment horizontal="right" vertical="center" indent="1"/>
    </xf>
    <xf numFmtId="164" fontId="10" fillId="0" borderId="0" xfId="1" applyNumberFormat="1" applyFont="1" applyFill="1" applyBorder="1" applyAlignment="1">
      <alignment horizontal="right" vertical="center" indent="1"/>
    </xf>
    <xf numFmtId="164" fontId="10" fillId="6" borderId="28" xfId="1" applyNumberFormat="1" applyFont="1" applyFill="1" applyBorder="1" applyAlignment="1">
      <alignment horizontal="right" vertical="center" indent="1"/>
    </xf>
    <xf numFmtId="0" fontId="10" fillId="7" borderId="22" xfId="0" applyFont="1" applyFill="1" applyBorder="1" applyAlignment="1">
      <alignment horizontal="left" vertical="center" indent="1"/>
    </xf>
    <xf numFmtId="0" fontId="10" fillId="0" borderId="22" xfId="0" applyFont="1" applyBorder="1" applyAlignment="1">
      <alignment horizontal="left" vertical="center" indent="1"/>
    </xf>
    <xf numFmtId="164" fontId="42" fillId="7" borderId="22" xfId="1" applyNumberFormat="1" applyFont="1" applyFill="1" applyBorder="1" applyAlignment="1">
      <alignment horizontal="right" vertical="center" indent="1"/>
    </xf>
    <xf numFmtId="164" fontId="42" fillId="7" borderId="0" xfId="1" applyNumberFormat="1" applyFont="1" applyFill="1" applyBorder="1" applyAlignment="1">
      <alignment horizontal="right" vertical="center" indent="1"/>
    </xf>
    <xf numFmtId="164" fontId="42" fillId="0" borderId="0" xfId="1" applyNumberFormat="1" applyFont="1" applyFill="1" applyBorder="1" applyAlignment="1">
      <alignment horizontal="right" vertical="center" indent="1"/>
    </xf>
    <xf numFmtId="164" fontId="42" fillId="7" borderId="35" xfId="1" applyNumberFormat="1" applyFont="1" applyFill="1" applyBorder="1" applyAlignment="1">
      <alignment horizontal="right" vertical="center" indent="1"/>
    </xf>
    <xf numFmtId="164" fontId="42" fillId="0" borderId="22" xfId="1" applyNumberFormat="1" applyFont="1" applyFill="1" applyBorder="1" applyAlignment="1">
      <alignment horizontal="right" vertical="center" indent="1"/>
    </xf>
    <xf numFmtId="164" fontId="42" fillId="7" borderId="23" xfId="1" applyNumberFormat="1" applyFont="1" applyFill="1" applyBorder="1" applyAlignment="1">
      <alignment horizontal="right" vertical="center" indent="1"/>
    </xf>
    <xf numFmtId="164" fontId="42" fillId="7" borderId="28" xfId="1" applyNumberFormat="1" applyFont="1" applyFill="1" applyBorder="1" applyAlignment="1">
      <alignment horizontal="right" vertical="center" indent="1"/>
    </xf>
    <xf numFmtId="0" fontId="10" fillId="8" borderId="22" xfId="0" applyFont="1" applyFill="1" applyBorder="1" applyAlignment="1">
      <alignment horizontal="left" vertical="center" indent="1"/>
    </xf>
    <xf numFmtId="164" fontId="42" fillId="8" borderId="22" xfId="1" applyNumberFormat="1" applyFont="1" applyFill="1" applyBorder="1" applyAlignment="1">
      <alignment horizontal="right" vertical="center" indent="1"/>
    </xf>
    <xf numFmtId="164" fontId="42" fillId="8" borderId="0" xfId="1" applyNumberFormat="1" applyFont="1" applyFill="1" applyBorder="1" applyAlignment="1">
      <alignment horizontal="right" vertical="center" indent="1"/>
    </xf>
    <xf numFmtId="164" fontId="42" fillId="8" borderId="35" xfId="1" applyNumberFormat="1" applyFont="1" applyFill="1" applyBorder="1" applyAlignment="1">
      <alignment horizontal="right" vertical="center" indent="1"/>
    </xf>
    <xf numFmtId="164" fontId="42" fillId="8" borderId="23" xfId="1" applyNumberFormat="1" applyFont="1" applyFill="1" applyBorder="1" applyAlignment="1">
      <alignment horizontal="right" vertical="center" indent="1"/>
    </xf>
    <xf numFmtId="164" fontId="42" fillId="8" borderId="28" xfId="1" applyNumberFormat="1" applyFont="1" applyFill="1" applyBorder="1" applyAlignment="1">
      <alignment horizontal="right" vertical="center" indent="1"/>
    </xf>
    <xf numFmtId="0" fontId="10" fillId="0" borderId="23" xfId="0" applyFont="1" applyBorder="1" applyAlignment="1">
      <alignment horizontal="left" vertical="center" indent="1"/>
    </xf>
    <xf numFmtId="164" fontId="42" fillId="8" borderId="36" xfId="1" applyNumberFormat="1" applyFont="1" applyFill="1" applyBorder="1" applyAlignment="1">
      <alignment horizontal="right" vertical="center" indent="1"/>
    </xf>
    <xf numFmtId="164" fontId="42" fillId="7" borderId="36" xfId="1" applyNumberFormat="1" applyFont="1" applyFill="1" applyBorder="1" applyAlignment="1">
      <alignment horizontal="right" vertical="center" indent="1"/>
    </xf>
    <xf numFmtId="0" fontId="10" fillId="7" borderId="41" xfId="0" applyFont="1" applyFill="1" applyBorder="1" applyAlignment="1">
      <alignment horizontal="left" vertical="center" indent="1"/>
    </xf>
    <xf numFmtId="0" fontId="10" fillId="0" borderId="42" xfId="0" applyFont="1" applyBorder="1" applyAlignment="1">
      <alignment horizontal="left" vertical="center" indent="1"/>
    </xf>
    <xf numFmtId="164" fontId="42" fillId="7" borderId="42" xfId="1" applyNumberFormat="1" applyFont="1" applyFill="1" applyBorder="1" applyAlignment="1">
      <alignment horizontal="right" vertical="center" indent="1"/>
    </xf>
    <xf numFmtId="164" fontId="42" fillId="7" borderId="41" xfId="1" applyNumberFormat="1" applyFont="1" applyFill="1" applyBorder="1" applyAlignment="1">
      <alignment horizontal="right" vertical="center" indent="1"/>
    </xf>
    <xf numFmtId="164" fontId="42" fillId="0" borderId="41" xfId="1" applyNumberFormat="1" applyFont="1" applyFill="1" applyBorder="1" applyAlignment="1">
      <alignment horizontal="right" vertical="center" indent="1"/>
    </xf>
    <xf numFmtId="164" fontId="42" fillId="7" borderId="43" xfId="1" applyNumberFormat="1" applyFont="1" applyFill="1" applyBorder="1" applyAlignment="1">
      <alignment horizontal="right" vertical="center" indent="1"/>
    </xf>
    <xf numFmtId="164" fontId="42" fillId="0" borderId="44" xfId="1" applyNumberFormat="1" applyFont="1" applyFill="1" applyBorder="1" applyAlignment="1">
      <alignment horizontal="right" vertical="center" indent="1"/>
    </xf>
    <xf numFmtId="164" fontId="42" fillId="7" borderId="44" xfId="1" applyNumberFormat="1" applyFont="1" applyFill="1" applyBorder="1" applyAlignment="1">
      <alignment horizontal="right" vertical="center" indent="1"/>
    </xf>
    <xf numFmtId="164" fontId="42" fillId="7" borderId="45" xfId="1" applyNumberFormat="1" applyFont="1" applyFill="1" applyBorder="1" applyAlignment="1">
      <alignment horizontal="right" vertical="center" indent="1"/>
    </xf>
    <xf numFmtId="0" fontId="10" fillId="6" borderId="22" xfId="0" applyFont="1" applyFill="1" applyBorder="1" applyAlignment="1">
      <alignment horizontal="right" vertical="center" indent="2"/>
    </xf>
    <xf numFmtId="0" fontId="10" fillId="0" borderId="0" xfId="0" applyFont="1" applyAlignment="1">
      <alignment horizontal="left" vertical="center" indent="1"/>
    </xf>
    <xf numFmtId="164" fontId="10" fillId="6" borderId="46" xfId="1" applyNumberFormat="1" applyFont="1" applyFill="1" applyBorder="1" applyAlignment="1">
      <alignment horizontal="right" vertical="center" indent="1"/>
    </xf>
    <xf numFmtId="164" fontId="10" fillId="6" borderId="0" xfId="1" applyNumberFormat="1" applyFont="1" applyFill="1" applyBorder="1" applyAlignment="1">
      <alignment horizontal="right" vertical="center" indent="1"/>
    </xf>
    <xf numFmtId="164" fontId="10" fillId="6" borderId="47" xfId="1" applyNumberFormat="1" applyFont="1" applyFill="1" applyBorder="1" applyAlignment="1">
      <alignment horizontal="right" vertical="center" indent="1"/>
    </xf>
    <xf numFmtId="164" fontId="10" fillId="6" borderId="22" xfId="1" applyNumberFormat="1" applyFont="1" applyFill="1" applyBorder="1" applyAlignment="1">
      <alignment horizontal="right" vertical="center" indent="1"/>
    </xf>
    <xf numFmtId="2" fontId="10" fillId="6" borderId="22" xfId="1" applyNumberFormat="1" applyFont="1" applyFill="1" applyBorder="1" applyAlignment="1">
      <alignment horizontal="right" vertical="center" indent="1"/>
    </xf>
    <xf numFmtId="2" fontId="10" fillId="6" borderId="0" xfId="1" applyNumberFormat="1" applyFont="1" applyFill="1" applyBorder="1" applyAlignment="1">
      <alignment horizontal="right" vertical="center" indent="1"/>
    </xf>
    <xf numFmtId="2" fontId="10" fillId="0" borderId="0" xfId="1" applyNumberFormat="1" applyFont="1" applyFill="1" applyBorder="1" applyAlignment="1">
      <alignment horizontal="right" vertical="center" indent="1"/>
    </xf>
    <xf numFmtId="2" fontId="10" fillId="6" borderId="37" xfId="1" applyNumberFormat="1" applyFont="1" applyFill="1" applyBorder="1" applyAlignment="1">
      <alignment horizontal="right" vertical="center" indent="1"/>
    </xf>
    <xf numFmtId="2" fontId="10" fillId="0" borderId="29" xfId="1" applyNumberFormat="1" applyFont="1" applyFill="1" applyBorder="1" applyAlignment="1">
      <alignment horizontal="right" vertical="center" indent="1"/>
    </xf>
    <xf numFmtId="2" fontId="10" fillId="6" borderId="38" xfId="1" applyNumberFormat="1" applyFont="1" applyFill="1" applyBorder="1" applyAlignment="1">
      <alignment horizontal="right" vertical="center" indent="1"/>
    </xf>
    <xf numFmtId="2" fontId="10" fillId="6" borderId="30" xfId="1" applyNumberFormat="1" applyFont="1" applyFill="1" applyBorder="1" applyAlignment="1">
      <alignment horizontal="right" vertical="center" indent="1"/>
    </xf>
    <xf numFmtId="0" fontId="66" fillId="0" borderId="4" xfId="0" applyFont="1" applyBorder="1" applyAlignment="1">
      <alignment vertical="center"/>
    </xf>
    <xf numFmtId="0" fontId="66" fillId="0" borderId="51" xfId="0" applyFont="1" applyBorder="1" applyAlignment="1">
      <alignment vertical="center"/>
    </xf>
    <xf numFmtId="0" fontId="7" fillId="13" borderId="34" xfId="0" applyFont="1" applyFill="1" applyBorder="1" applyAlignment="1">
      <alignment horizontal="center" vertical="center" wrapText="1"/>
    </xf>
    <xf numFmtId="0" fontId="7" fillId="13" borderId="19" xfId="0" applyFont="1" applyFill="1" applyBorder="1" applyAlignment="1">
      <alignment horizontal="center" vertical="center" wrapText="1"/>
    </xf>
    <xf numFmtId="0" fontId="7" fillId="13" borderId="20" xfId="0" applyFont="1" applyFill="1" applyBorder="1" applyAlignment="1">
      <alignment horizontal="center" vertical="center" wrapText="1"/>
    </xf>
    <xf numFmtId="0" fontId="7" fillId="13" borderId="0" xfId="0" applyFont="1" applyFill="1" applyAlignment="1">
      <alignment horizontal="center" vertical="center" wrapText="1"/>
    </xf>
    <xf numFmtId="0" fontId="7" fillId="13" borderId="28" xfId="0" applyFont="1" applyFill="1" applyBorder="1" applyAlignment="1">
      <alignment horizontal="center" vertical="center" wrapText="1"/>
    </xf>
    <xf numFmtId="0" fontId="11" fillId="13" borderId="22" xfId="0" applyFont="1" applyFill="1" applyBorder="1" applyAlignment="1">
      <alignment vertical="center" wrapText="1"/>
    </xf>
    <xf numFmtId="0" fontId="11" fillId="13" borderId="21" xfId="0" applyFont="1" applyFill="1" applyBorder="1" applyAlignment="1">
      <alignment horizontal="center" vertical="center" wrapText="1"/>
    </xf>
    <xf numFmtId="0" fontId="11" fillId="13" borderId="5" xfId="0" applyFont="1" applyFill="1" applyBorder="1" applyAlignment="1">
      <alignment horizontal="center" vertical="center" wrapText="1"/>
    </xf>
    <xf numFmtId="0" fontId="11" fillId="13" borderId="20" xfId="0" applyFont="1" applyFill="1" applyBorder="1" applyAlignment="1">
      <alignment horizontal="center" vertical="center" wrapText="1"/>
    </xf>
    <xf numFmtId="0" fontId="58" fillId="10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164" fontId="69" fillId="0" borderId="0" xfId="1" applyNumberFormat="1" applyFont="1" applyAlignment="1">
      <alignment horizontal="center" vertical="center"/>
    </xf>
    <xf numFmtId="0" fontId="68" fillId="12" borderId="0" xfId="0" applyFont="1" applyFill="1" applyAlignment="1">
      <alignment horizontal="left" vertical="center" indent="1"/>
    </xf>
    <xf numFmtId="164" fontId="69" fillId="12" borderId="68" xfId="1" applyNumberFormat="1" applyFont="1" applyFill="1" applyBorder="1" applyAlignment="1">
      <alignment horizontal="center" vertical="center"/>
    </xf>
    <xf numFmtId="164" fontId="69" fillId="12" borderId="23" xfId="1" applyNumberFormat="1" applyFont="1" applyFill="1" applyBorder="1" applyAlignment="1">
      <alignment horizontal="center" vertical="center"/>
    </xf>
    <xf numFmtId="164" fontId="69" fillId="12" borderId="69" xfId="1" applyNumberFormat="1" applyFont="1" applyFill="1" applyBorder="1" applyAlignment="1">
      <alignment horizontal="center" vertical="center"/>
    </xf>
    <xf numFmtId="164" fontId="69" fillId="12" borderId="79" xfId="1" applyNumberFormat="1" applyFont="1" applyFill="1" applyBorder="1" applyAlignment="1">
      <alignment horizontal="center" vertical="center"/>
    </xf>
    <xf numFmtId="164" fontId="69" fillId="12" borderId="80" xfId="1" applyNumberFormat="1" applyFont="1" applyFill="1" applyBorder="1" applyAlignment="1">
      <alignment horizontal="center" vertical="center"/>
    </xf>
    <xf numFmtId="0" fontId="68" fillId="12" borderId="3" xfId="0" applyFont="1" applyFill="1" applyBorder="1" applyAlignment="1">
      <alignment horizontal="left" vertical="center" indent="1"/>
    </xf>
    <xf numFmtId="164" fontId="69" fillId="12" borderId="70" xfId="1" applyNumberFormat="1" applyFont="1" applyFill="1" applyBorder="1" applyAlignment="1">
      <alignment horizontal="center" vertical="center"/>
    </xf>
    <xf numFmtId="164" fontId="69" fillId="12" borderId="61" xfId="1" applyNumberFormat="1" applyFont="1" applyFill="1" applyBorder="1" applyAlignment="1">
      <alignment horizontal="center" vertical="center"/>
    </xf>
    <xf numFmtId="164" fontId="69" fillId="12" borderId="71" xfId="1" applyNumberFormat="1" applyFont="1" applyFill="1" applyBorder="1" applyAlignment="1">
      <alignment horizontal="center" vertical="center"/>
    </xf>
    <xf numFmtId="164" fontId="69" fillId="12" borderId="81" xfId="1" applyNumberFormat="1" applyFont="1" applyFill="1" applyBorder="1" applyAlignment="1">
      <alignment horizontal="center" vertical="center"/>
    </xf>
    <xf numFmtId="164" fontId="69" fillId="12" borderId="82" xfId="1" applyNumberFormat="1" applyFont="1" applyFill="1" applyBorder="1" applyAlignment="1">
      <alignment horizontal="center" vertical="center"/>
    </xf>
    <xf numFmtId="0" fontId="10" fillId="6" borderId="83" xfId="0" applyFont="1" applyFill="1" applyBorder="1" applyAlignment="1">
      <alignment horizontal="left" vertical="center"/>
    </xf>
    <xf numFmtId="0" fontId="11" fillId="13" borderId="84" xfId="0" applyFont="1" applyFill="1" applyBorder="1" applyAlignment="1">
      <alignment horizontal="center" vertical="center" wrapText="1"/>
    </xf>
    <xf numFmtId="0" fontId="11" fillId="13" borderId="85" xfId="0" applyFont="1" applyFill="1" applyBorder="1" applyAlignment="1">
      <alignment horizontal="center" vertical="center" wrapText="1"/>
    </xf>
    <xf numFmtId="0" fontId="7" fillId="13" borderId="85" xfId="0" applyFont="1" applyFill="1" applyBorder="1" applyAlignment="1">
      <alignment vertical="center" wrapText="1"/>
    </xf>
    <xf numFmtId="164" fontId="3" fillId="0" borderId="83" xfId="1" applyNumberFormat="1" applyFont="1" applyFill="1" applyBorder="1" applyAlignment="1">
      <alignment horizontal="center" vertical="center"/>
    </xf>
    <xf numFmtId="164" fontId="3" fillId="0" borderId="0" xfId="1" applyNumberFormat="1" applyFont="1" applyFill="1" applyBorder="1" applyAlignment="1">
      <alignment horizontal="center" vertical="center"/>
    </xf>
    <xf numFmtId="164" fontId="10" fillId="6" borderId="83" xfId="1" applyNumberFormat="1" applyFont="1" applyFill="1" applyBorder="1" applyAlignment="1">
      <alignment horizontal="center" vertical="center"/>
    </xf>
    <xf numFmtId="164" fontId="10" fillId="6" borderId="0" xfId="1" applyNumberFormat="1" applyFont="1" applyFill="1" applyBorder="1" applyAlignment="1">
      <alignment horizontal="center" vertical="center"/>
    </xf>
    <xf numFmtId="164" fontId="3" fillId="0" borderId="84" xfId="1" applyNumberFormat="1" applyFont="1" applyFill="1" applyBorder="1" applyAlignment="1">
      <alignment horizontal="center" vertical="center"/>
    </xf>
    <xf numFmtId="164" fontId="3" fillId="0" borderId="85" xfId="1" applyNumberFormat="1" applyFont="1" applyFill="1" applyBorder="1" applyAlignment="1">
      <alignment horizontal="center" vertical="center"/>
    </xf>
    <xf numFmtId="0" fontId="29" fillId="0" borderId="87" xfId="0" applyFont="1" applyBorder="1" applyAlignment="1">
      <alignment horizontal="right" vertical="center" wrapText="1"/>
    </xf>
    <xf numFmtId="0" fontId="43" fillId="0" borderId="0" xfId="0" applyFont="1" applyAlignment="1">
      <alignment vertical="center"/>
    </xf>
    <xf numFmtId="9" fontId="43" fillId="6" borderId="68" xfId="1" applyFont="1" applyFill="1" applyBorder="1" applyAlignment="1">
      <alignment horizontal="center" vertical="center"/>
    </xf>
    <xf numFmtId="9" fontId="43" fillId="6" borderId="23" xfId="1" applyFont="1" applyFill="1" applyBorder="1" applyAlignment="1">
      <alignment horizontal="center" vertical="center"/>
    </xf>
    <xf numFmtId="9" fontId="43" fillId="6" borderId="69" xfId="1" applyFont="1" applyFill="1" applyBorder="1" applyAlignment="1">
      <alignment horizontal="center" vertical="center"/>
    </xf>
    <xf numFmtId="9" fontId="44" fillId="0" borderId="0" xfId="1" applyFont="1" applyAlignment="1">
      <alignment horizontal="center" vertical="center"/>
    </xf>
    <xf numFmtId="9" fontId="43" fillId="6" borderId="79" xfId="1" applyFont="1" applyFill="1" applyBorder="1" applyAlignment="1">
      <alignment horizontal="center" vertical="center"/>
    </xf>
    <xf numFmtId="9" fontId="43" fillId="6" borderId="80" xfId="1" applyFont="1" applyFill="1" applyBorder="1" applyAlignment="1">
      <alignment horizontal="center" vertical="center"/>
    </xf>
    <xf numFmtId="168" fontId="0" fillId="0" borderId="72" xfId="1" applyNumberFormat="1" applyFont="1" applyBorder="1"/>
    <xf numFmtId="168" fontId="0" fillId="0" borderId="0" xfId="1" applyNumberFormat="1" applyFont="1" applyBorder="1"/>
    <xf numFmtId="168" fontId="0" fillId="0" borderId="69" xfId="1" applyNumberFormat="1" applyFont="1" applyBorder="1"/>
    <xf numFmtId="168" fontId="0" fillId="0" borderId="83" xfId="1" applyNumberFormat="1" applyFont="1" applyBorder="1"/>
    <xf numFmtId="168" fontId="0" fillId="0" borderId="80" xfId="1" applyNumberFormat="1" applyFont="1" applyBorder="1"/>
    <xf numFmtId="0" fontId="41" fillId="8" borderId="0" xfId="0" applyFont="1" applyFill="1" applyAlignment="1">
      <alignment horizontal="center" vertical="center" wrapText="1"/>
    </xf>
    <xf numFmtId="0" fontId="60" fillId="0" borderId="74" xfId="0" applyFont="1" applyBorder="1" applyAlignment="1">
      <alignment horizontal="left"/>
    </xf>
    <xf numFmtId="0" fontId="52" fillId="8" borderId="0" xfId="0" applyFont="1" applyFill="1" applyAlignment="1">
      <alignment horizontal="left"/>
    </xf>
    <xf numFmtId="0" fontId="52" fillId="8" borderId="80" xfId="0" applyFont="1" applyFill="1" applyBorder="1" applyAlignment="1">
      <alignment horizontal="left"/>
    </xf>
    <xf numFmtId="0" fontId="43" fillId="8" borderId="72" xfId="0" applyFont="1" applyFill="1" applyBorder="1" applyAlignment="1">
      <alignment horizontal="center" vertical="center"/>
    </xf>
    <xf numFmtId="0" fontId="43" fillId="8" borderId="0" xfId="0" applyFont="1" applyFill="1" applyAlignment="1">
      <alignment horizontal="center" vertical="center"/>
    </xf>
    <xf numFmtId="0" fontId="43" fillId="8" borderId="69" xfId="0" applyFont="1" applyFill="1" applyBorder="1" applyAlignment="1">
      <alignment horizontal="center" vertical="center"/>
    </xf>
    <xf numFmtId="0" fontId="43" fillId="8" borderId="83" xfId="0" applyFont="1" applyFill="1" applyBorder="1" applyAlignment="1">
      <alignment horizontal="center" vertical="center"/>
    </xf>
    <xf numFmtId="0" fontId="43" fillId="8" borderId="80" xfId="0" applyFont="1" applyFill="1" applyBorder="1" applyAlignment="1">
      <alignment horizontal="center" vertical="center"/>
    </xf>
    <xf numFmtId="0" fontId="54" fillId="8" borderId="0" xfId="0" applyFont="1" applyFill="1" applyAlignment="1">
      <alignment horizontal="left"/>
    </xf>
    <xf numFmtId="0" fontId="54" fillId="8" borderId="80" xfId="0" applyFont="1" applyFill="1" applyBorder="1" applyAlignment="1">
      <alignment horizontal="left"/>
    </xf>
    <xf numFmtId="0" fontId="53" fillId="8" borderId="0" xfId="0" applyFont="1" applyFill="1" applyAlignment="1">
      <alignment horizontal="left"/>
    </xf>
    <xf numFmtId="0" fontId="53" fillId="8" borderId="69" xfId="0" applyFont="1" applyFill="1" applyBorder="1" applyAlignment="1">
      <alignment horizontal="left"/>
    </xf>
    <xf numFmtId="0" fontId="53" fillId="8" borderId="80" xfId="0" applyFont="1" applyFill="1" applyBorder="1" applyAlignment="1">
      <alignment horizontal="left"/>
    </xf>
    <xf numFmtId="0" fontId="54" fillId="11" borderId="0" xfId="0" applyFont="1" applyFill="1" applyAlignment="1">
      <alignment horizontal="left"/>
    </xf>
    <xf numFmtId="0" fontId="54" fillId="11" borderId="80" xfId="0" applyFont="1" applyFill="1" applyBorder="1" applyAlignment="1">
      <alignment horizontal="left"/>
    </xf>
    <xf numFmtId="0" fontId="52" fillId="11" borderId="0" xfId="0" applyFont="1" applyFill="1" applyAlignment="1">
      <alignment horizontal="left"/>
    </xf>
    <xf numFmtId="0" fontId="52" fillId="11" borderId="80" xfId="0" applyFont="1" applyFill="1" applyBorder="1" applyAlignment="1">
      <alignment horizontal="left"/>
    </xf>
    <xf numFmtId="0" fontId="43" fillId="11" borderId="83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43" fillId="11" borderId="80" xfId="0" applyFont="1" applyFill="1" applyBorder="1" applyAlignment="1">
      <alignment horizontal="center" vertical="center"/>
    </xf>
    <xf numFmtId="0" fontId="53" fillId="11" borderId="0" xfId="0" applyFont="1" applyFill="1" applyAlignment="1">
      <alignment horizontal="left"/>
    </xf>
    <xf numFmtId="0" fontId="53" fillId="11" borderId="69" xfId="0" applyFont="1" applyFill="1" applyBorder="1" applyAlignment="1">
      <alignment horizontal="left"/>
    </xf>
    <xf numFmtId="0" fontId="53" fillId="11" borderId="80" xfId="0" applyFont="1" applyFill="1" applyBorder="1" applyAlignment="1">
      <alignment horizontal="left"/>
    </xf>
    <xf numFmtId="0" fontId="46" fillId="12" borderId="0" xfId="0" applyFont="1" applyFill="1" applyAlignment="1">
      <alignment horizontal="center" vertical="center" wrapText="1"/>
    </xf>
    <xf numFmtId="0" fontId="54" fillId="11" borderId="69" xfId="0" applyFont="1" applyFill="1" applyBorder="1" applyAlignment="1">
      <alignment horizontal="left"/>
    </xf>
    <xf numFmtId="0" fontId="41" fillId="11" borderId="0" xfId="0" applyFont="1" applyFill="1" applyAlignment="1">
      <alignment horizontal="center" vertical="center" wrapText="1"/>
    </xf>
    <xf numFmtId="0" fontId="52" fillId="11" borderId="69" xfId="0" applyFont="1" applyFill="1" applyBorder="1" applyAlignment="1">
      <alignment horizontal="left"/>
    </xf>
    <xf numFmtId="0" fontId="43" fillId="11" borderId="72" xfId="0" applyFont="1" applyFill="1" applyBorder="1" applyAlignment="1">
      <alignment horizontal="center" vertical="center"/>
    </xf>
    <xf numFmtId="0" fontId="43" fillId="11" borderId="69" xfId="0" applyFont="1" applyFill="1" applyBorder="1" applyAlignment="1">
      <alignment horizontal="center" vertical="center"/>
    </xf>
    <xf numFmtId="0" fontId="54" fillId="12" borderId="0" xfId="0" applyFont="1" applyFill="1" applyAlignment="1">
      <alignment horizontal="left"/>
    </xf>
    <xf numFmtId="0" fontId="54" fillId="12" borderId="80" xfId="0" applyFont="1" applyFill="1" applyBorder="1" applyAlignment="1">
      <alignment horizontal="left"/>
    </xf>
    <xf numFmtId="0" fontId="53" fillId="12" borderId="0" xfId="0" applyFont="1" applyFill="1" applyAlignment="1">
      <alignment horizontal="left"/>
    </xf>
    <xf numFmtId="0" fontId="53" fillId="12" borderId="80" xfId="0" applyFont="1" applyFill="1" applyBorder="1" applyAlignment="1">
      <alignment horizontal="left"/>
    </xf>
    <xf numFmtId="0" fontId="52" fillId="12" borderId="0" xfId="0" applyFont="1" applyFill="1" applyAlignment="1">
      <alignment horizontal="left"/>
    </xf>
    <xf numFmtId="0" fontId="52" fillId="12" borderId="80" xfId="0" applyFont="1" applyFill="1" applyBorder="1" applyAlignment="1">
      <alignment horizontal="left"/>
    </xf>
    <xf numFmtId="0" fontId="43" fillId="12" borderId="72" xfId="0" applyFont="1" applyFill="1" applyBorder="1" applyAlignment="1">
      <alignment horizontal="center" vertical="center"/>
    </xf>
    <xf numFmtId="0" fontId="43" fillId="12" borderId="0" xfId="0" applyFont="1" applyFill="1" applyAlignment="1">
      <alignment horizontal="center" vertical="center"/>
    </xf>
    <xf numFmtId="0" fontId="43" fillId="12" borderId="69" xfId="0" applyFont="1" applyFill="1" applyBorder="1" applyAlignment="1">
      <alignment horizontal="center" vertical="center"/>
    </xf>
    <xf numFmtId="0" fontId="43" fillId="12" borderId="83" xfId="0" applyFont="1" applyFill="1" applyBorder="1" applyAlignment="1">
      <alignment horizontal="center" vertical="center"/>
    </xf>
    <xf numFmtId="0" fontId="43" fillId="12" borderId="80" xfId="0" applyFont="1" applyFill="1" applyBorder="1" applyAlignment="1">
      <alignment horizontal="center" vertical="center"/>
    </xf>
    <xf numFmtId="0" fontId="54" fillId="8" borderId="69" xfId="0" applyFont="1" applyFill="1" applyBorder="1" applyAlignment="1">
      <alignment horizontal="left"/>
    </xf>
    <xf numFmtId="0" fontId="52" fillId="8" borderId="69" xfId="0" applyFont="1" applyFill="1" applyBorder="1" applyAlignment="1">
      <alignment horizontal="left"/>
    </xf>
    <xf numFmtId="0" fontId="45" fillId="0" borderId="62" xfId="0" applyFont="1" applyBorder="1" applyAlignment="1">
      <alignment horizontal="center" vertical="center"/>
    </xf>
    <xf numFmtId="0" fontId="45" fillId="0" borderId="63" xfId="0" applyFont="1" applyBorder="1" applyAlignment="1">
      <alignment horizontal="center" vertical="center"/>
    </xf>
    <xf numFmtId="0" fontId="45" fillId="0" borderId="64" xfId="0" applyFont="1" applyBorder="1" applyAlignment="1">
      <alignment horizontal="center" vertical="center"/>
    </xf>
    <xf numFmtId="0" fontId="61" fillId="13" borderId="62" xfId="0" applyFont="1" applyFill="1" applyBorder="1" applyAlignment="1">
      <alignment horizontal="center" vertical="center"/>
    </xf>
    <xf numFmtId="0" fontId="61" fillId="13" borderId="63" xfId="0" applyFont="1" applyFill="1" applyBorder="1" applyAlignment="1">
      <alignment horizontal="center" vertical="center"/>
    </xf>
    <xf numFmtId="0" fontId="61" fillId="13" borderId="64" xfId="0" applyFont="1" applyFill="1" applyBorder="1" applyAlignment="1">
      <alignment horizontal="center" vertical="center"/>
    </xf>
    <xf numFmtId="0" fontId="62" fillId="0" borderId="62" xfId="0" applyFont="1" applyBorder="1" applyAlignment="1">
      <alignment horizontal="left" vertical="center" indent="3"/>
    </xf>
    <xf numFmtId="0" fontId="62" fillId="0" borderId="63" xfId="0" applyFont="1" applyBorder="1" applyAlignment="1">
      <alignment horizontal="left" vertical="center" indent="3"/>
    </xf>
    <xf numFmtId="0" fontId="62" fillId="0" borderId="64" xfId="0" applyFont="1" applyBorder="1" applyAlignment="1">
      <alignment horizontal="left" vertical="center" indent="3"/>
    </xf>
    <xf numFmtId="0" fontId="54" fillId="12" borderId="69" xfId="0" applyFont="1" applyFill="1" applyBorder="1" applyAlignment="1">
      <alignment horizontal="left"/>
    </xf>
    <xf numFmtId="0" fontId="53" fillId="12" borderId="69" xfId="0" applyFont="1" applyFill="1" applyBorder="1" applyAlignment="1">
      <alignment horizontal="left"/>
    </xf>
    <xf numFmtId="0" fontId="52" fillId="12" borderId="69" xfId="0" applyFont="1" applyFill="1" applyBorder="1" applyAlignment="1">
      <alignment horizontal="left"/>
    </xf>
    <xf numFmtId="0" fontId="58" fillId="10" borderId="0" xfId="0" applyFont="1" applyFill="1" applyAlignment="1">
      <alignment horizontal="center" vertical="center"/>
    </xf>
    <xf numFmtId="0" fontId="56" fillId="13" borderId="85" xfId="0" applyFont="1" applyFill="1" applyBorder="1" applyAlignment="1">
      <alignment horizontal="left" vertical="center" wrapText="1" indent="2"/>
    </xf>
    <xf numFmtId="0" fontId="56" fillId="13" borderId="86" xfId="0" applyFont="1" applyFill="1" applyBorder="1" applyAlignment="1">
      <alignment horizontal="left" vertical="center" wrapText="1" indent="2"/>
    </xf>
    <xf numFmtId="0" fontId="67" fillId="0" borderId="106" xfId="0" applyFont="1" applyBorder="1" applyAlignment="1">
      <alignment horizontal="center" vertical="center"/>
    </xf>
    <xf numFmtId="0" fontId="67" fillId="0" borderId="107" xfId="0" applyFont="1" applyBorder="1" applyAlignment="1">
      <alignment horizontal="center" vertical="center"/>
    </xf>
    <xf numFmtId="0" fontId="67" fillId="0" borderId="78" xfId="0" applyFont="1" applyBorder="1" applyAlignment="1">
      <alignment horizontal="center" vertical="center"/>
    </xf>
    <xf numFmtId="0" fontId="42" fillId="6" borderId="0" xfId="0" applyFont="1" applyFill="1" applyAlignment="1">
      <alignment horizontal="center" vertical="center"/>
    </xf>
    <xf numFmtId="0" fontId="42" fillId="6" borderId="80" xfId="0" applyFont="1" applyFill="1" applyBorder="1" applyAlignment="1">
      <alignment horizontal="center" vertical="center"/>
    </xf>
    <xf numFmtId="0" fontId="57" fillId="6" borderId="0" xfId="0" applyFont="1" applyFill="1" applyAlignment="1">
      <alignment horizontal="left" vertical="center" indent="2"/>
    </xf>
    <xf numFmtId="0" fontId="57" fillId="6" borderId="80" xfId="0" applyFont="1" applyFill="1" applyBorder="1" applyAlignment="1">
      <alignment horizontal="left" vertical="center" indent="2"/>
    </xf>
    <xf numFmtId="0" fontId="32" fillId="0" borderId="0" xfId="0" applyFont="1" applyAlignment="1">
      <alignment horizontal="left" vertical="center" indent="2"/>
    </xf>
    <xf numFmtId="0" fontId="32" fillId="0" borderId="80" xfId="0" applyFont="1" applyBorder="1" applyAlignment="1">
      <alignment horizontal="left" vertical="center" indent="2"/>
    </xf>
    <xf numFmtId="0" fontId="32" fillId="0" borderId="85" xfId="0" applyFont="1" applyBorder="1" applyAlignment="1">
      <alignment horizontal="left" vertical="center" indent="2"/>
    </xf>
    <xf numFmtId="0" fontId="32" fillId="0" borderId="86" xfId="0" applyFont="1" applyBorder="1" applyAlignment="1">
      <alignment horizontal="left" vertical="center" indent="2"/>
    </xf>
    <xf numFmtId="0" fontId="0" fillId="0" borderId="0" xfId="0" applyAlignment="1">
      <alignment horizontal="left"/>
    </xf>
    <xf numFmtId="0" fontId="7" fillId="13" borderId="0" xfId="0" applyFont="1" applyFill="1" applyAlignment="1">
      <alignment horizontal="center" vertical="center"/>
    </xf>
    <xf numFmtId="0" fontId="3" fillId="0" borderId="88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32" fillId="0" borderId="24" xfId="1" applyNumberFormat="1" applyFont="1" applyFill="1" applyBorder="1" applyAlignment="1">
      <alignment horizontal="left" vertical="center" indent="1"/>
    </xf>
    <xf numFmtId="164" fontId="32" fillId="0" borderId="0" xfId="1" applyNumberFormat="1" applyFont="1" applyFill="1" applyBorder="1" applyAlignment="1">
      <alignment horizontal="left" vertical="center" indent="1"/>
    </xf>
    <xf numFmtId="164" fontId="32" fillId="0" borderId="22" xfId="1" applyNumberFormat="1" applyFont="1" applyFill="1" applyBorder="1" applyAlignment="1">
      <alignment horizontal="left" vertical="center" indent="1"/>
    </xf>
    <xf numFmtId="164" fontId="32" fillId="0" borderId="21" xfId="1" applyNumberFormat="1" applyFont="1" applyFill="1" applyBorder="1" applyAlignment="1">
      <alignment horizontal="left" vertical="center" indent="1"/>
    </xf>
    <xf numFmtId="164" fontId="32" fillId="0" borderId="5" xfId="1" applyNumberFormat="1" applyFont="1" applyFill="1" applyBorder="1" applyAlignment="1">
      <alignment horizontal="left" vertical="center" indent="1"/>
    </xf>
    <xf numFmtId="164" fontId="32" fillId="0" borderId="19" xfId="1" applyNumberFormat="1" applyFont="1" applyFill="1" applyBorder="1" applyAlignment="1">
      <alignment horizontal="left" vertical="center" indent="1"/>
    </xf>
    <xf numFmtId="0" fontId="12" fillId="13" borderId="53" xfId="0" applyFont="1" applyFill="1" applyBorder="1" applyAlignment="1">
      <alignment horizontal="center" vertical="center"/>
    </xf>
    <xf numFmtId="0" fontId="12" fillId="13" borderId="54" xfId="0" applyFont="1" applyFill="1" applyBorder="1" applyAlignment="1">
      <alignment horizontal="center" vertical="center"/>
    </xf>
    <xf numFmtId="0" fontId="65" fillId="0" borderId="21" xfId="0" applyFont="1" applyBorder="1" applyAlignment="1">
      <alignment horizontal="center" vertical="center" wrapText="1"/>
    </xf>
    <xf numFmtId="0" fontId="65" fillId="0" borderId="5" xfId="0" applyFont="1" applyBorder="1" applyAlignment="1">
      <alignment horizontal="center" vertical="center" wrapText="1"/>
    </xf>
    <xf numFmtId="0" fontId="65" fillId="0" borderId="19" xfId="0" applyFont="1" applyBorder="1" applyAlignment="1">
      <alignment horizontal="center" vertical="center" wrapText="1"/>
    </xf>
    <xf numFmtId="164" fontId="32" fillId="0" borderId="50" xfId="1" applyNumberFormat="1" applyFont="1" applyFill="1" applyBorder="1" applyAlignment="1">
      <alignment horizontal="left" vertical="center" indent="1"/>
    </xf>
    <xf numFmtId="164" fontId="32" fillId="0" borderId="4" xfId="1" applyNumberFormat="1" applyFont="1" applyFill="1" applyBorder="1" applyAlignment="1">
      <alignment horizontal="left" vertical="center" indent="1"/>
    </xf>
    <xf numFmtId="164" fontId="32" fillId="0" borderId="51" xfId="1" applyNumberFormat="1" applyFont="1" applyFill="1" applyBorder="1" applyAlignment="1">
      <alignment horizontal="left" vertical="center" indent="1"/>
    </xf>
    <xf numFmtId="0" fontId="42" fillId="8" borderId="24" xfId="0" applyFont="1" applyFill="1" applyBorder="1" applyAlignment="1">
      <alignment horizontal="left" vertical="center" indent="1"/>
    </xf>
    <xf numFmtId="0" fontId="42" fillId="8" borderId="0" xfId="0" applyFont="1" applyFill="1" applyAlignment="1">
      <alignment horizontal="left" vertical="center" indent="1"/>
    </xf>
    <xf numFmtId="0" fontId="42" fillId="8" borderId="22" xfId="0" applyFont="1" applyFill="1" applyBorder="1" applyAlignment="1">
      <alignment horizontal="left" vertical="center" indent="1"/>
    </xf>
    <xf numFmtId="0" fontId="42" fillId="7" borderId="24" xfId="0" applyFont="1" applyFill="1" applyBorder="1" applyAlignment="1">
      <alignment horizontal="left" vertical="center" indent="1"/>
    </xf>
    <xf numFmtId="0" fontId="42" fillId="7" borderId="0" xfId="0" applyFont="1" applyFill="1" applyAlignment="1">
      <alignment horizontal="left" vertical="center" indent="1"/>
    </xf>
    <xf numFmtId="0" fontId="42" fillId="7" borderId="22" xfId="0" applyFont="1" applyFill="1" applyBorder="1" applyAlignment="1">
      <alignment horizontal="left" vertical="center" indent="1"/>
    </xf>
    <xf numFmtId="0" fontId="3" fillId="13" borderId="0" xfId="0" applyFont="1" applyFill="1" applyAlignment="1">
      <alignment horizontal="left" vertical="center"/>
    </xf>
    <xf numFmtId="2" fontId="42" fillId="7" borderId="0" xfId="0" applyNumberFormat="1" applyFont="1" applyFill="1" applyAlignment="1">
      <alignment horizontal="center" vertical="center"/>
    </xf>
    <xf numFmtId="2" fontId="42" fillId="7" borderId="26" xfId="0" applyNumberFormat="1" applyFont="1" applyFill="1" applyBorder="1" applyAlignment="1">
      <alignment horizontal="center" vertical="center"/>
    </xf>
    <xf numFmtId="164" fontId="0" fillId="13" borderId="0" xfId="1" applyNumberFormat="1" applyFont="1" applyFill="1" applyBorder="1" applyAlignment="1">
      <alignment horizontal="center" vertical="center"/>
    </xf>
    <xf numFmtId="164" fontId="0" fillId="13" borderId="26" xfId="1" applyNumberFormat="1" applyFont="1" applyFill="1" applyBorder="1" applyAlignment="1">
      <alignment horizontal="center" vertical="center"/>
    </xf>
    <xf numFmtId="2" fontId="42" fillId="8" borderId="0" xfId="0" applyNumberFormat="1" applyFont="1" applyFill="1" applyAlignment="1">
      <alignment horizontal="center" vertical="center"/>
    </xf>
    <xf numFmtId="2" fontId="42" fillId="8" borderId="26" xfId="0" applyNumberFormat="1" applyFont="1" applyFill="1" applyBorder="1" applyAlignment="1">
      <alignment horizontal="center" vertical="center"/>
    </xf>
    <xf numFmtId="0" fontId="3" fillId="8" borderId="48" xfId="0" applyFont="1" applyFill="1" applyBorder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8" borderId="22" xfId="0" applyFont="1" applyFill="1" applyBorder="1" applyAlignment="1">
      <alignment horizontal="left" vertical="center" indent="1"/>
    </xf>
    <xf numFmtId="0" fontId="9" fillId="13" borderId="0" xfId="0" applyFont="1" applyFill="1" applyAlignment="1">
      <alignment horizontal="center" textRotation="90" wrapText="1"/>
    </xf>
    <xf numFmtId="0" fontId="12" fillId="13" borderId="26" xfId="0" applyFont="1" applyFill="1" applyBorder="1" applyAlignment="1">
      <alignment horizontal="center" vertical="center" wrapText="1"/>
    </xf>
    <xf numFmtId="0" fontId="12" fillId="13" borderId="27" xfId="0" applyFont="1" applyFill="1" applyBorder="1" applyAlignment="1">
      <alignment horizontal="center" vertical="center" wrapText="1"/>
    </xf>
    <xf numFmtId="0" fontId="3" fillId="7" borderId="48" xfId="0" applyFont="1" applyFill="1" applyBorder="1" applyAlignment="1">
      <alignment horizontal="left" vertical="center" indent="1"/>
    </xf>
    <xf numFmtId="0" fontId="3" fillId="7" borderId="0" xfId="0" applyFont="1" applyFill="1" applyAlignment="1">
      <alignment horizontal="left" vertical="center" indent="1"/>
    </xf>
    <xf numFmtId="0" fontId="3" fillId="7" borderId="22" xfId="0" applyFont="1" applyFill="1" applyBorder="1" applyAlignment="1">
      <alignment horizontal="left" vertical="center" indent="1"/>
    </xf>
    <xf numFmtId="0" fontId="9" fillId="13" borderId="26" xfId="0" applyFont="1" applyFill="1" applyBorder="1" applyAlignment="1">
      <alignment horizontal="center" textRotation="90" wrapText="1"/>
    </xf>
    <xf numFmtId="0" fontId="35" fillId="0" borderId="0" xfId="0" applyFont="1" applyAlignment="1">
      <alignment horizontal="left" vertical="center"/>
    </xf>
    <xf numFmtId="0" fontId="35" fillId="0" borderId="49" xfId="0" applyFont="1" applyBorder="1" applyAlignment="1">
      <alignment horizontal="left" vertical="center"/>
    </xf>
    <xf numFmtId="0" fontId="28" fillId="13" borderId="0" xfId="0" applyFont="1" applyFill="1" applyAlignment="1">
      <alignment horizontal="left" vertical="center" indent="1"/>
    </xf>
    <xf numFmtId="0" fontId="7" fillId="13" borderId="21" xfId="0" applyFont="1" applyFill="1" applyBorder="1" applyAlignment="1">
      <alignment horizontal="center" vertical="center" wrapText="1"/>
    </xf>
    <xf numFmtId="0" fontId="7" fillId="13" borderId="5" xfId="0" applyFont="1" applyFill="1" applyBorder="1" applyAlignment="1">
      <alignment horizontal="center" vertical="center" wrapText="1"/>
    </xf>
    <xf numFmtId="0" fontId="7" fillId="13" borderId="19" xfId="0" applyFont="1" applyFill="1" applyBorder="1" applyAlignment="1">
      <alignment horizontal="center" vertical="center" wrapText="1"/>
    </xf>
    <xf numFmtId="0" fontId="9" fillId="13" borderId="25" xfId="0" applyFont="1" applyFill="1" applyBorder="1" applyAlignment="1">
      <alignment horizontal="center" textRotation="90" wrapText="1"/>
    </xf>
    <xf numFmtId="0" fontId="12" fillId="13" borderId="39" xfId="0" applyFont="1" applyFill="1" applyBorder="1" applyAlignment="1">
      <alignment horizontal="center" vertical="center"/>
    </xf>
    <xf numFmtId="0" fontId="12" fillId="13" borderId="40" xfId="0" applyFont="1" applyFill="1" applyBorder="1" applyAlignment="1">
      <alignment horizontal="center" vertical="center"/>
    </xf>
    <xf numFmtId="0" fontId="13" fillId="13" borderId="58" xfId="0" applyFont="1" applyFill="1" applyBorder="1" applyAlignment="1">
      <alignment horizontal="left" vertical="center" wrapText="1"/>
    </xf>
    <xf numFmtId="0" fontId="13" fillId="13" borderId="5" xfId="0" applyFont="1" applyFill="1" applyBorder="1" applyAlignment="1">
      <alignment horizontal="left" vertical="center" wrapText="1"/>
    </xf>
    <xf numFmtId="0" fontId="12" fillId="13" borderId="31" xfId="0" applyFont="1" applyFill="1" applyBorder="1" applyAlignment="1">
      <alignment horizontal="center" vertical="center"/>
    </xf>
    <xf numFmtId="0" fontId="12" fillId="13" borderId="32" xfId="0" applyFont="1" applyFill="1" applyBorder="1" applyAlignment="1">
      <alignment horizontal="center" vertical="center"/>
    </xf>
    <xf numFmtId="0" fontId="12" fillId="13" borderId="33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8" borderId="57" xfId="0" applyFont="1" applyFill="1" applyBorder="1" applyAlignment="1">
      <alignment horizontal="left" vertical="center" indent="1"/>
    </xf>
    <xf numFmtId="0" fontId="3" fillId="8" borderId="4" xfId="0" applyFont="1" applyFill="1" applyBorder="1" applyAlignment="1">
      <alignment horizontal="left" vertical="center" indent="1"/>
    </xf>
    <xf numFmtId="0" fontId="3" fillId="8" borderId="51" xfId="0" applyFont="1" applyFill="1" applyBorder="1" applyAlignment="1">
      <alignment horizontal="left" vertical="center" indent="1"/>
    </xf>
    <xf numFmtId="0" fontId="9" fillId="5" borderId="0" xfId="0" applyFont="1" applyFill="1" applyAlignment="1">
      <alignment horizontal="center"/>
    </xf>
    <xf numFmtId="0" fontId="13" fillId="5" borderId="0" xfId="0" applyFont="1" applyFill="1" applyAlignment="1">
      <alignment horizontal="left" vertical="center"/>
    </xf>
    <xf numFmtId="0" fontId="11" fillId="5" borderId="4" xfId="0" applyFont="1" applyFill="1" applyBorder="1" applyAlignment="1">
      <alignment horizontal="center" vertical="center"/>
    </xf>
    <xf numFmtId="0" fontId="5" fillId="3" borderId="8" xfId="8" applyFont="1" applyFill="1" applyBorder="1" applyAlignment="1">
      <alignment horizontal="center" vertical="center"/>
    </xf>
    <xf numFmtId="0" fontId="6" fillId="0" borderId="7" xfId="8" applyFont="1" applyBorder="1"/>
    <xf numFmtId="0" fontId="5" fillId="3" borderId="12" xfId="8" applyFont="1" applyFill="1" applyBorder="1" applyAlignment="1">
      <alignment horizontal="center" vertical="center"/>
    </xf>
    <xf numFmtId="0" fontId="5" fillId="3" borderId="13" xfId="8" applyFont="1" applyFill="1" applyBorder="1" applyAlignment="1">
      <alignment horizontal="center" vertical="center"/>
    </xf>
    <xf numFmtId="0" fontId="6" fillId="0" borderId="6" xfId="8" applyFont="1" applyBorder="1"/>
    <xf numFmtId="0" fontId="5" fillId="3" borderId="7" xfId="8" applyFont="1" applyFill="1" applyBorder="1" applyAlignment="1">
      <alignment horizontal="center" vertical="center"/>
    </xf>
    <xf numFmtId="0" fontId="5" fillId="3" borderId="6" xfId="8" applyFont="1" applyFill="1" applyBorder="1" applyAlignment="1">
      <alignment horizontal="center" vertical="center"/>
    </xf>
    <xf numFmtId="0" fontId="5" fillId="3" borderId="11" xfId="8" applyFont="1" applyFill="1" applyBorder="1" applyAlignment="1">
      <alignment horizontal="center" vertical="center" textRotation="90"/>
    </xf>
    <xf numFmtId="0" fontId="6" fillId="0" borderId="12" xfId="8" applyFont="1" applyBorder="1" applyAlignment="1">
      <alignment horizontal="center" textRotation="90"/>
    </xf>
    <xf numFmtId="0" fontId="5" fillId="3" borderId="10" xfId="8" applyFont="1" applyFill="1" applyBorder="1" applyAlignment="1">
      <alignment horizontal="center" vertical="center" textRotation="90"/>
    </xf>
    <xf numFmtId="0" fontId="5" fillId="3" borderId="12" xfId="8" applyFont="1" applyFill="1" applyBorder="1" applyAlignment="1">
      <alignment horizontal="center" vertical="center" textRotation="90"/>
    </xf>
    <xf numFmtId="0" fontId="6" fillId="0" borderId="10" xfId="8" applyFont="1" applyBorder="1" applyAlignment="1">
      <alignment horizontal="center" textRotation="90"/>
    </xf>
    <xf numFmtId="0" fontId="5" fillId="3" borderId="9" xfId="8" applyFont="1" applyFill="1" applyBorder="1" applyAlignment="1">
      <alignment horizontal="center" vertical="center" textRotation="90"/>
    </xf>
    <xf numFmtId="0" fontId="5" fillId="3" borderId="0" xfId="8" applyFont="1" applyFill="1" applyAlignment="1">
      <alignment horizontal="center" vertical="center" textRotation="90"/>
    </xf>
  </cellXfs>
  <cellStyles count="9">
    <cellStyle name="Comma 94" xfId="7" xr:uid="{DC87C228-BD17-41C9-BFDC-47D294BA4F15}"/>
    <cellStyle name="Normal" xfId="0" builtinId="0"/>
    <cellStyle name="Normal 2" xfId="2" xr:uid="{EB096D70-E936-4852-A918-80F9C7D67615}"/>
    <cellStyle name="Normal 3" xfId="8" xr:uid="{2ABCE58E-309D-4BD1-8CD8-786D9C20495B}"/>
    <cellStyle name="Normal 3 10 2" xfId="5" xr:uid="{2220768C-7575-4E4A-A082-1B0F935AE091}"/>
    <cellStyle name="Normal 3 15 2" xfId="6" xr:uid="{869B2C71-2AB1-47DE-965C-B18E875BDE80}"/>
    <cellStyle name="Normal 333" xfId="4" xr:uid="{83ED9A1E-DB45-4747-B8FF-BEE5058A33E0}"/>
    <cellStyle name="Percent" xfId="1" builtinId="5"/>
    <cellStyle name="Percent 2" xfId="3" xr:uid="{E6877752-4703-48C0-A51B-991BC0E3B28B}"/>
  </cellStyles>
  <dxfs count="2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righ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9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E425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DF"/>
      <color rgb="FFF1F7D5"/>
      <color rgb="FFF5D7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592592592592587E-3"/>
          <c:y val="1.6290208320430048E-2"/>
          <c:w val="0.97825653412789748"/>
          <c:h val="0.98370970667331625"/>
        </c:manualLayout>
      </c:layout>
      <c:doughnutChart>
        <c:varyColors val="1"/>
        <c:ser>
          <c:idx val="2"/>
          <c:order val="0"/>
          <c:cat>
            <c:strRef>
              <c:f>('CMA Summary'!$B$33:$B$35,'CMA Summary'!$B$37:$B$39,'CMA Summary'!$B$41:$B$45)</c:f>
              <c:strCache>
                <c:ptCount val="11"/>
                <c:pt idx="0">
                  <c:v>U.S. Large Cap </c:v>
                </c:pt>
                <c:pt idx="1">
                  <c:v>Non-U.S. Developed </c:v>
                </c:pt>
                <c:pt idx="2">
                  <c:v>Emerging Markets </c:v>
                </c:pt>
                <c:pt idx="3">
                  <c:v>U.S. Aggregate Bonds</c:v>
                </c:pt>
                <c:pt idx="4">
                  <c:v>U.S. High Yield</c:v>
                </c:pt>
                <c:pt idx="5">
                  <c:v>Emerging Mkt Bonds</c:v>
                </c:pt>
                <c:pt idx="6">
                  <c:v>Private Equity</c:v>
                </c:pt>
                <c:pt idx="7">
                  <c:v>Private Credit</c:v>
                </c:pt>
                <c:pt idx="8">
                  <c:v>Private Real Estate</c:v>
                </c:pt>
                <c:pt idx="9">
                  <c:v>Infrastructure</c:v>
                </c:pt>
                <c:pt idx="10">
                  <c:v>Multi-Strategy (HF)</c:v>
                </c:pt>
              </c:strCache>
            </c:strRef>
          </c:cat>
          <c:val>
            <c:numRef>
              <c:f>'CMA Summary'!$C$33:$C$35</c:f>
            </c:numRef>
          </c:val>
          <c:extLst>
            <c:ext xmlns:c16="http://schemas.microsoft.com/office/drawing/2014/chart" uri="{C3380CC4-5D6E-409C-BE32-E72D297353CC}">
              <c16:uniqueId val="{00000000-D383-49A9-A8F2-7DC7373BAEA0}"/>
            </c:ext>
          </c:extLst>
        </c:ser>
        <c:ser>
          <c:idx val="3"/>
          <c:order val="1"/>
          <c:spPr>
            <a:ln w="28575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8575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383-49A9-A8F2-7DC7373BAEA0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28575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383-49A9-A8F2-7DC7373BAEA0}"/>
              </c:ext>
            </c:extLst>
          </c:dPt>
          <c:dPt>
            <c:idx val="2"/>
            <c:bubble3D val="0"/>
            <c:spPr>
              <a:solidFill>
                <a:schemeClr val="bg2">
                  <a:lumMod val="60000"/>
                  <a:lumOff val="40000"/>
                </a:schemeClr>
              </a:solidFill>
              <a:ln w="28575"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383-49A9-A8F2-7DC7373BAEA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A58E6DD-15C4-9242-8ADA-7C4EC4CD81C1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 </a:t>
                    </a:r>
                    <a:fld id="{789EFD80-04FE-A74A-AD6A-B691530C1BB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83-49A9-A8F2-7DC7373BAE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5FACB5-CB7F-7B43-8B62-C8430F795E7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 </a:t>
                    </a:r>
                    <a:fld id="{842B901C-4E72-5F41-9A49-E275F2C2AD44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83-49A9-A8F2-7DC7373BAE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E578E4-A08A-9746-8C10-DBDF5AD36913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 </a:t>
                    </a:r>
                    <a:fld id="{33ECB00A-EEE0-594A-9256-7FAD080EC86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83-49A9-A8F2-7DC7373BAEA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('CMA Summary'!$B$33:$B$35,'CMA Summary'!$B$37:$B$39,'CMA Summary'!$B$41:$B$45)</c:f>
              <c:strCache>
                <c:ptCount val="11"/>
                <c:pt idx="0">
                  <c:v>U.S. Large Cap </c:v>
                </c:pt>
                <c:pt idx="1">
                  <c:v>Non-U.S. Developed </c:v>
                </c:pt>
                <c:pt idx="2">
                  <c:v>Emerging Markets </c:v>
                </c:pt>
                <c:pt idx="3">
                  <c:v>U.S. Aggregate Bonds</c:v>
                </c:pt>
                <c:pt idx="4">
                  <c:v>U.S. High Yield</c:v>
                </c:pt>
                <c:pt idx="5">
                  <c:v>Emerging Mkt Bonds</c:v>
                </c:pt>
                <c:pt idx="6">
                  <c:v>Private Equity</c:v>
                </c:pt>
                <c:pt idx="7">
                  <c:v>Private Credit</c:v>
                </c:pt>
                <c:pt idx="8">
                  <c:v>Private Real Estate</c:v>
                </c:pt>
                <c:pt idx="9">
                  <c:v>Infrastructure</c:v>
                </c:pt>
                <c:pt idx="10">
                  <c:v>Multi-Strategy (HF)</c:v>
                </c:pt>
              </c:strCache>
            </c:strRef>
          </c:cat>
          <c:val>
            <c:numRef>
              <c:f>('CMA Summary'!$E$32,'CMA Summary'!$E$36,'CMA Summary'!$E$40)</c:f>
              <c:numCache>
                <c:formatCode>0.0%</c:formatCode>
                <c:ptCount val="3"/>
                <c:pt idx="0">
                  <c:v>0.27272727272727271</c:v>
                </c:pt>
                <c:pt idx="1">
                  <c:v>0.27272727272727271</c:v>
                </c:pt>
                <c:pt idx="2">
                  <c:v>0.45454545454545459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('CMA Summary'!$B$32,'CMA Summary'!$B$36,'CMA Summary'!$B$40)</c15:f>
                <c15:dlblRangeCache>
                  <c:ptCount val="3"/>
                  <c:pt idx="0">
                    <c:v>Equity</c:v>
                  </c:pt>
                  <c:pt idx="1">
                    <c:v>Fixed Income</c:v>
                  </c:pt>
                  <c:pt idx="2">
                    <c:v>Alternatives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D383-49A9-A8F2-7DC7373BAEA0}"/>
            </c:ext>
          </c:extLst>
        </c:ser>
        <c:ser>
          <c:idx val="0"/>
          <c:order val="2"/>
          <c:cat>
            <c:strRef>
              <c:f>('CMA Summary'!$B$33:$B$35,'CMA Summary'!$B$37:$B$39,'CMA Summary'!$B$41:$B$45)</c:f>
              <c:strCache>
                <c:ptCount val="11"/>
                <c:pt idx="0">
                  <c:v>U.S. Large Cap </c:v>
                </c:pt>
                <c:pt idx="1">
                  <c:v>Non-U.S. Developed </c:v>
                </c:pt>
                <c:pt idx="2">
                  <c:v>Emerging Markets </c:v>
                </c:pt>
                <c:pt idx="3">
                  <c:v>U.S. Aggregate Bonds</c:v>
                </c:pt>
                <c:pt idx="4">
                  <c:v>U.S. High Yield</c:v>
                </c:pt>
                <c:pt idx="5">
                  <c:v>Emerging Mkt Bonds</c:v>
                </c:pt>
                <c:pt idx="6">
                  <c:v>Private Equity</c:v>
                </c:pt>
                <c:pt idx="7">
                  <c:v>Private Credit</c:v>
                </c:pt>
                <c:pt idx="8">
                  <c:v>Private Real Estate</c:v>
                </c:pt>
                <c:pt idx="9">
                  <c:v>Infrastructure</c:v>
                </c:pt>
                <c:pt idx="10">
                  <c:v>Multi-Strategy (HF)</c:v>
                </c:pt>
              </c:strCache>
            </c:strRef>
          </c:cat>
          <c:val>
            <c:numRef>
              <c:f>'CMA Summary'!$C$33:$C$35</c:f>
            </c:numRef>
          </c:val>
          <c:extLst>
            <c:ext xmlns:c16="http://schemas.microsoft.com/office/drawing/2014/chart" uri="{C3380CC4-5D6E-409C-BE32-E72D297353CC}">
              <c16:uniqueId val="{00000008-D383-49A9-A8F2-7DC7373BAEA0}"/>
            </c:ext>
          </c:extLst>
        </c:ser>
        <c:ser>
          <c:idx val="1"/>
          <c:order val="3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D383-49A9-A8F2-7DC7373BAEA0}"/>
              </c:ext>
            </c:extLst>
          </c:dPt>
          <c:dPt>
            <c:idx val="1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C-D383-49A9-A8F2-7DC7373BAEA0}"/>
              </c:ext>
            </c:extLst>
          </c:dPt>
          <c:dPt>
            <c:idx val="2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E-D383-49A9-A8F2-7DC7373BAEA0}"/>
              </c:ext>
            </c:extLst>
          </c:dPt>
          <c:dPt>
            <c:idx val="3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0-D383-49A9-A8F2-7DC7373BAEA0}"/>
              </c:ext>
            </c:extLst>
          </c:dPt>
          <c:dPt>
            <c:idx val="4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2-D383-49A9-A8F2-7DC7373BAEA0}"/>
              </c:ext>
            </c:extLst>
          </c:dPt>
          <c:dPt>
            <c:idx val="5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4-D383-49A9-A8F2-7DC7373BAEA0}"/>
              </c:ext>
            </c:extLst>
          </c:dPt>
          <c:dPt>
            <c:idx val="6"/>
            <c:bubble3D val="0"/>
            <c:spPr>
              <a:solidFill>
                <a:schemeClr val="bg2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6-D383-49A9-A8F2-7DC7373BAEA0}"/>
              </c:ext>
            </c:extLst>
          </c:dPt>
          <c:dPt>
            <c:idx val="7"/>
            <c:bubble3D val="0"/>
            <c:spPr>
              <a:solidFill>
                <a:schemeClr val="bg2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8-D383-49A9-A8F2-7DC7373BAEA0}"/>
              </c:ext>
            </c:extLst>
          </c:dPt>
          <c:dPt>
            <c:idx val="8"/>
            <c:bubble3D val="0"/>
            <c:spPr>
              <a:solidFill>
                <a:schemeClr val="bg2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A-D383-49A9-A8F2-7DC7373BAEA0}"/>
              </c:ext>
            </c:extLst>
          </c:dPt>
          <c:dPt>
            <c:idx val="9"/>
            <c:bubble3D val="0"/>
            <c:spPr>
              <a:solidFill>
                <a:schemeClr val="bg2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C-D383-49A9-A8F2-7DC7373BAEA0}"/>
              </c:ext>
            </c:extLst>
          </c:dPt>
          <c:dPt>
            <c:idx val="10"/>
            <c:bubble3D val="0"/>
            <c:spPr>
              <a:solidFill>
                <a:schemeClr val="bg2">
                  <a:lumMod val="40000"/>
                  <a:lumOff val="60000"/>
                </a:schemeClr>
              </a:solidFill>
              <a:ln>
                <a:solidFill>
                  <a:schemeClr val="bg1"/>
                </a:solidFill>
              </a:ln>
            </c:spPr>
            <c:extLst>
              <c:ext xmlns:c16="http://schemas.microsoft.com/office/drawing/2014/chart" uri="{C3380CC4-5D6E-409C-BE32-E72D297353CC}">
                <c16:uniqueId val="{0000001E-D383-49A9-A8F2-7DC7373BAEA0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('CMA Summary'!$B$33:$B$35,'CMA Summary'!$B$37:$B$39,'CMA Summary'!$B$41:$B$45)</c:f>
              <c:strCache>
                <c:ptCount val="11"/>
                <c:pt idx="0">
                  <c:v>U.S. Large Cap </c:v>
                </c:pt>
                <c:pt idx="1">
                  <c:v>Non-U.S. Developed </c:v>
                </c:pt>
                <c:pt idx="2">
                  <c:v>Emerging Markets </c:v>
                </c:pt>
                <c:pt idx="3">
                  <c:v>U.S. Aggregate Bonds</c:v>
                </c:pt>
                <c:pt idx="4">
                  <c:v>U.S. High Yield</c:v>
                </c:pt>
                <c:pt idx="5">
                  <c:v>Emerging Mkt Bonds</c:v>
                </c:pt>
                <c:pt idx="6">
                  <c:v>Private Equity</c:v>
                </c:pt>
                <c:pt idx="7">
                  <c:v>Private Credit</c:v>
                </c:pt>
                <c:pt idx="8">
                  <c:v>Private Real Estate</c:v>
                </c:pt>
                <c:pt idx="9">
                  <c:v>Infrastructure</c:v>
                </c:pt>
                <c:pt idx="10">
                  <c:v>Multi-Strategy (HF)</c:v>
                </c:pt>
              </c:strCache>
            </c:strRef>
          </c:cat>
          <c:val>
            <c:numRef>
              <c:f>('CMA Summary'!$E$33:$E$35,'CMA Summary'!$E$37:$E$39,'CMA Summary'!$E$41:$E$45)</c:f>
              <c:numCache>
                <c:formatCode>0.0%</c:formatCode>
                <c:ptCount val="11"/>
                <c:pt idx="0">
                  <c:v>9.0909090909090912E-2</c:v>
                </c:pt>
                <c:pt idx="1">
                  <c:v>9.0909090909090912E-2</c:v>
                </c:pt>
                <c:pt idx="2">
                  <c:v>9.0909090909090912E-2</c:v>
                </c:pt>
                <c:pt idx="3">
                  <c:v>9.0909090909090912E-2</c:v>
                </c:pt>
                <c:pt idx="4">
                  <c:v>9.0909090909090912E-2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9.0909090909090912E-2</c:v>
                </c:pt>
                <c:pt idx="8">
                  <c:v>9.0909090909090912E-2</c:v>
                </c:pt>
                <c:pt idx="9">
                  <c:v>9.0909090909090912E-2</c:v>
                </c:pt>
                <c:pt idx="10">
                  <c:v>9.0909090909090912E-2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383-49A9-A8F2-7DC7373BA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5"/>
      </c:doughnutChart>
      <c:spPr>
        <a:noFill/>
      </c:spPr>
    </c:plotArea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tx>
            <cx:txData>
              <cx:f>_xlchart.v1.1</cx:f>
              <cx:v>Envestnet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_xlchart.v1.4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</cx:f>
      </cx:strDim>
      <cx:numDim type="size">
        <cx:f>_xlchart.v1.13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tx>
            <cx:txData>
              <cx:f>_xlchart.v1.12</cx:f>
              <cx:v>Custom Average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_xlchart.v1.26</cx:f>
      </cx:strDim>
      <cx:numDim type="size">
        <cx:f>_xlchart.v1.28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tx>
            <cx:txData>
              <cx:f>_xlchart.v1.27</cx:f>
              <cx:v>Cliffwater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_xlchart.v1.7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_xlchart.v1.6</cx:f>
              <cx:v>JPMorgan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_xlchart.v1.38</cx:f>
      </cx:strDim>
      <cx:numDim type="size">
        <cx:f>_xlchart.v1.40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_xlchart.v1.39</cx:f>
              <cx:v>Master Average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size">
        <cx:f>_xlchart.v1.10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_xlchart.v1.9</cx:f>
              <cx:v>Custom Average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_xlchart.v1.32</cx:f>
      </cx:strDim>
      <cx:numDim type="size">
        <cx:f>_xlchart.v1.34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_xlchart.v1.33</cx:f>
              <cx:v>Cliffwater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</cx:f>
      </cx:strDim>
      <cx:numDim type="size">
        <cx:f>_xlchart.v1.16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_xlchart.v1.15</cx:f>
              <cx:v>Envestnet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_xlchart.v1.35</cx:f>
      </cx:strDim>
      <cx:numDim type="size">
        <cx:f>_xlchart.v1.37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_xlchart.v1.36</cx:f>
              <cx:v>JPMorgan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_xlchart.v1.17</cx:f>
      </cx:strDim>
      <cx:numDim type="size">
        <cx:f>_xlchart.v1.19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_xlchart.v1.18</cx:f>
              <cx:v>Master Average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_xlchart.v1.20</cx:f>
      </cx:strDim>
      <cx:numDim type="size">
        <cx:f>_xlchart.v1.22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_xlchart.v1.21</cx:f>
              <cx:v>Custom Average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size">
        <cx:f>_xlchart.v1.31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_xlchart.v1.30</cx:f>
              <cx:v>Cliffwater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_xlchart.v1.23</cx:f>
      </cx:strDim>
      <cx:numDim type="size">
        <cx:f>_xlchart.v1.25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_xlchart.v1.24</cx:f>
              <cx:v>Envestnet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_xlchart.v1.41</cx:f>
      </cx:strDim>
      <cx:numDim type="size">
        <cx:f>_xlchart.v1.43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 formatIdx="0">
          <cx:tx>
            <cx:txData>
              <cx:f>_xlchart.v1.42</cx:f>
              <cx:v>JPMorgan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 b="1"/>
                </a:pPr>
                <a:endParaRPr lang="en-US" sz="11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_xlchart.v1.47</cx:f>
      </cx:strDim>
      <cx:numDim type="size">
        <cx:f>_xlchart.v1.49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tx>
            <cx:txData>
              <cx:f>_xlchart.v1.48</cx:f>
              <cx:v>Capital Appreciation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 b="1"/>
                </a:pPr>
                <a:endParaRPr lang="en-US" sz="16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_xlchart.v1.44</cx:f>
      </cx:strDim>
      <cx:numDim type="size">
        <cx:f>_xlchart.v1.46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tx>
            <cx:txData>
              <cx:f>_xlchart.v1.45</cx:f>
              <cx:v>Capital Income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 b="1"/>
                </a:pPr>
                <a:endParaRPr lang="en-US" sz="16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_xlchart.v1.50</cx:f>
      </cx:strDim>
      <cx:numDim type="size">
        <cx:f>_xlchart.v1.52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tx>
            <cx:txData>
              <cx:f>_xlchart.v1.51</cx:f>
              <cx:v>Capital Preservation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 b="1"/>
                </a:pPr>
                <a:endParaRPr lang="en-US" sz="16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_xlchart.v1.56</cx:f>
      </cx:strDim>
      <cx:numDim type="size">
        <cx:f>_xlchart.v1.58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tx>
            <cx:txData>
              <cx:f>_xlchart.v1.57</cx:f>
              <cx:v>Tradition. 60/40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 b="1"/>
                </a:pPr>
                <a:endParaRPr lang="en-US" sz="16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_xlchart.v1.53</cx:f>
      </cx:strDim>
      <cx:numDim type="size">
        <cx:f>_xlchart.v1.55</cx:f>
      </cx:numDim>
    </cx:data>
  </cx:chartData>
  <cx:chart>
    <cx:plotArea>
      <cx:plotAreaRegion>
        <cx:plotSurface>
          <cx:spPr>
            <a:ln>
              <a:noFill/>
            </a:ln>
          </cx:spPr>
        </cx:plotSurface>
        <cx:series layoutId="sunburst" uniqueId="{BE5090BF-2853-4206-96D2-5731C0488F37}">
          <cx:tx>
            <cx:txData>
              <cx:f>_xlchart.v1.54</cx:f>
              <cx:v>Equal Weighted</cx:v>
            </cx:txData>
          </cx:tx>
          <cx:dataPt idx="8">
            <cx:spPr>
              <a:solidFill>
                <a:srgbClr val="2CA8E2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 b="1"/>
                </a:pPr>
                <a:endParaRPr lang="en-US" sz="1600" b="1" i="0" u="none" strike="noStrike" baseline="0">
                  <a:solidFill>
                    <a:srgbClr val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CheckBox" checked="Checked" fmlaLink="$H$1" lockText="1" noThreeD="1"/>
</file>

<file path=xl/ctrlProps/ctrlProp2.xml><?xml version="1.0" encoding="utf-8"?>
<formControlPr xmlns="http://schemas.microsoft.com/office/spreadsheetml/2009/9/main" objectType="CheckBox" checked="Checked" fmlaLink="$I$1" lockText="1" noThreeD="1"/>
</file>

<file path=xl/ctrlProps/ctrlProp3.xml><?xml version="1.0" encoding="utf-8"?>
<formControlPr xmlns="http://schemas.microsoft.com/office/spreadsheetml/2009/9/main" objectType="CheckBox" checked="Checked" fmlaLink="$J$1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microsoft.com/office/2014/relationships/chartEx" Target="../charts/chartEx3.xml"/><Relationship Id="rId18" Type="http://schemas.microsoft.com/office/2014/relationships/chartEx" Target="../charts/chartEx8.xml"/><Relationship Id="rId3" Type="http://schemas.openxmlformats.org/officeDocument/2006/relationships/image" Target="../media/image2.png"/><Relationship Id="rId21" Type="http://schemas.microsoft.com/office/2014/relationships/chartEx" Target="../charts/chartEx11.xml"/><Relationship Id="rId7" Type="http://schemas.openxmlformats.org/officeDocument/2006/relationships/image" Target="../media/image6.svg"/><Relationship Id="rId12" Type="http://schemas.microsoft.com/office/2014/relationships/chartEx" Target="../charts/chartEx2.xml"/><Relationship Id="rId17" Type="http://schemas.microsoft.com/office/2014/relationships/chartEx" Target="../charts/chartEx7.xml"/><Relationship Id="rId25" Type="http://schemas.microsoft.com/office/2014/relationships/chartEx" Target="../charts/chartEx15.xml"/><Relationship Id="rId2" Type="http://schemas.openxmlformats.org/officeDocument/2006/relationships/image" Target="../media/image1.png"/><Relationship Id="rId16" Type="http://schemas.microsoft.com/office/2014/relationships/chartEx" Target="../charts/chartEx6.xml"/><Relationship Id="rId20" Type="http://schemas.microsoft.com/office/2014/relationships/chartEx" Target="../charts/chartEx10.xml"/><Relationship Id="rId1" Type="http://schemas.microsoft.com/office/2014/relationships/chartEx" Target="../charts/chartEx1.xm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microsoft.com/office/2014/relationships/chartEx" Target="../charts/chartEx14.xml"/><Relationship Id="rId5" Type="http://schemas.openxmlformats.org/officeDocument/2006/relationships/image" Target="../media/image4.png"/><Relationship Id="rId15" Type="http://schemas.microsoft.com/office/2014/relationships/chartEx" Target="../charts/chartEx5.xml"/><Relationship Id="rId23" Type="http://schemas.microsoft.com/office/2014/relationships/chartEx" Target="../charts/chartEx13.xml"/><Relationship Id="rId10" Type="http://schemas.openxmlformats.org/officeDocument/2006/relationships/image" Target="../media/image9.png"/><Relationship Id="rId19" Type="http://schemas.microsoft.com/office/2014/relationships/chartEx" Target="../charts/chartEx9.xml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microsoft.com/office/2014/relationships/chartEx" Target="../charts/chartEx4.xml"/><Relationship Id="rId22" Type="http://schemas.microsoft.com/office/2014/relationships/chartEx" Target="../charts/chartEx12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7.xml"/><Relationship Id="rId2" Type="http://schemas.microsoft.com/office/2014/relationships/chartEx" Target="../charts/chartEx16.xml"/><Relationship Id="rId1" Type="http://schemas.openxmlformats.org/officeDocument/2006/relationships/image" Target="../media/image1.png"/><Relationship Id="rId6" Type="http://schemas.microsoft.com/office/2014/relationships/chartEx" Target="../charts/chartEx20.xml"/><Relationship Id="rId5" Type="http://schemas.microsoft.com/office/2014/relationships/chartEx" Target="../charts/chartEx19.xml"/><Relationship Id="rId4" Type="http://schemas.microsoft.com/office/2014/relationships/chartEx" Target="../charts/chartEx1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43</xdr:row>
      <xdr:rowOff>0</xdr:rowOff>
    </xdr:from>
    <xdr:to>
      <xdr:col>17</xdr:col>
      <xdr:colOff>1190626</xdr:colOff>
      <xdr:row>63</xdr:row>
      <xdr:rowOff>140970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0" name="Chart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67000" y="5930900"/>
              <a:ext cx="3984626" cy="3696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1</xdr:row>
      <xdr:rowOff>24317</xdr:rowOff>
    </xdr:from>
    <xdr:to>
      <xdr:col>2</xdr:col>
      <xdr:colOff>2575</xdr:colOff>
      <xdr:row>1</xdr:row>
      <xdr:rowOff>554911</xdr:rowOff>
    </xdr:to>
    <xdr:pic>
      <xdr:nvPicPr>
        <xdr:cNvPr id="27" name="Picture 26" descr="iCapital – Powering the World's Alternative Investment Marketplac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446" r="2990"/>
        <a:stretch/>
      </xdr:blipFill>
      <xdr:spPr bwMode="auto">
        <a:xfrm>
          <a:off x="168088" y="203611"/>
          <a:ext cx="1795516" cy="549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365284</xdr:colOff>
      <xdr:row>1</xdr:row>
      <xdr:rowOff>113096</xdr:rowOff>
    </xdr:from>
    <xdr:to>
      <xdr:col>13</xdr:col>
      <xdr:colOff>895962</xdr:colOff>
      <xdr:row>1</xdr:row>
      <xdr:rowOff>551651</xdr:rowOff>
    </xdr:to>
    <xdr:pic>
      <xdr:nvPicPr>
        <xdr:cNvPr id="28" name="Picture 27" descr="Home - Cliffwater LLC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7857" y="312889"/>
          <a:ext cx="2968082" cy="449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683579</xdr:colOff>
      <xdr:row>1</xdr:row>
      <xdr:rowOff>55731</xdr:rowOff>
    </xdr:from>
    <xdr:to>
      <xdr:col>17</xdr:col>
      <xdr:colOff>610790</xdr:colOff>
      <xdr:row>1</xdr:row>
      <xdr:rowOff>609797</xdr:rowOff>
    </xdr:to>
    <xdr:pic>
      <xdr:nvPicPr>
        <xdr:cNvPr id="29" name="Picture 28" descr="Envestnet Announces Business Line Transformation to Streamline and  Accelerate the Growth of Its Financial Wellness Ecosystem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163" b="30504"/>
        <a:stretch/>
      </xdr:blipFill>
      <xdr:spPr bwMode="auto">
        <a:xfrm>
          <a:off x="14092920" y="255524"/>
          <a:ext cx="2361894" cy="5540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1010602</xdr:colOff>
      <xdr:row>1</xdr:row>
      <xdr:rowOff>79711</xdr:rowOff>
    </xdr:from>
    <xdr:to>
      <xdr:col>21</xdr:col>
      <xdr:colOff>322385</xdr:colOff>
      <xdr:row>1</xdr:row>
      <xdr:rowOff>591086</xdr:rowOff>
    </xdr:to>
    <xdr:pic>
      <xdr:nvPicPr>
        <xdr:cNvPr id="30" name="Picture 29" descr="J.P. Morgan | Official Website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48" r="3705"/>
        <a:stretch/>
      </xdr:blipFill>
      <xdr:spPr bwMode="auto">
        <a:xfrm>
          <a:off x="18206712" y="279504"/>
          <a:ext cx="1749187" cy="4950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444341</xdr:colOff>
      <xdr:row>46</xdr:row>
      <xdr:rowOff>159067</xdr:rowOff>
    </xdr:from>
    <xdr:to>
      <xdr:col>1</xdr:col>
      <xdr:colOff>1352210</xdr:colOff>
      <xdr:row>52</xdr:row>
      <xdr:rowOff>77153</xdr:rowOff>
    </xdr:to>
    <xdr:pic>
      <xdr:nvPicPr>
        <xdr:cNvPr id="6" name="Graphic 5" descr="Bar graph with upward trend with solid fil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11029" y="6386036"/>
          <a:ext cx="914400" cy="918210"/>
        </a:xfrm>
        <a:prstGeom prst="rect">
          <a:avLst/>
        </a:prstGeom>
      </xdr:spPr>
    </xdr:pic>
    <xdr:clientData/>
  </xdr:twoCellAnchor>
  <xdr:twoCellAnchor editAs="oneCell">
    <xdr:from>
      <xdr:col>1</xdr:col>
      <xdr:colOff>464819</xdr:colOff>
      <xdr:row>75</xdr:row>
      <xdr:rowOff>1904</xdr:rowOff>
    </xdr:from>
    <xdr:to>
      <xdr:col>1</xdr:col>
      <xdr:colOff>1389833</xdr:colOff>
      <xdr:row>80</xdr:row>
      <xdr:rowOff>95111</xdr:rowOff>
    </xdr:to>
    <xdr:pic>
      <xdr:nvPicPr>
        <xdr:cNvPr id="9" name="Graphic 8" descr="Flying Money with solid fill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31507" y="9895998"/>
          <a:ext cx="914400" cy="912495"/>
        </a:xfrm>
        <a:prstGeom prst="rect">
          <a:avLst/>
        </a:prstGeom>
      </xdr:spPr>
    </xdr:pic>
    <xdr:clientData/>
  </xdr:twoCellAnchor>
  <xdr:twoCellAnchor editAs="oneCell">
    <xdr:from>
      <xdr:col>1</xdr:col>
      <xdr:colOff>479089</xdr:colOff>
      <xdr:row>103</xdr:row>
      <xdr:rowOff>7124</xdr:rowOff>
    </xdr:from>
    <xdr:to>
      <xdr:col>1</xdr:col>
      <xdr:colOff>1392400</xdr:colOff>
      <xdr:row>108</xdr:row>
      <xdr:rowOff>92987</xdr:rowOff>
    </xdr:to>
    <xdr:pic>
      <xdr:nvPicPr>
        <xdr:cNvPr id="11" name="Graphic 10" descr="Piggy Ban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45777" y="13401655"/>
          <a:ext cx="914400" cy="9124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330200</xdr:colOff>
          <xdr:row>1</xdr:row>
          <xdr:rowOff>25400</xdr:rowOff>
        </xdr:from>
        <xdr:to>
          <xdr:col>10</xdr:col>
          <xdr:colOff>0</xdr:colOff>
          <xdr:row>1</xdr:row>
          <xdr:rowOff>203200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Cliffwater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330200</xdr:colOff>
          <xdr:row>1</xdr:row>
          <xdr:rowOff>228600</xdr:rowOff>
        </xdr:from>
        <xdr:to>
          <xdr:col>10</xdr:col>
          <xdr:colOff>0</xdr:colOff>
          <xdr:row>1</xdr:row>
          <xdr:rowOff>444500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Envestnet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330200</xdr:colOff>
          <xdr:row>1</xdr:row>
          <xdr:rowOff>444500</xdr:rowOff>
        </xdr:from>
        <xdr:to>
          <xdr:col>10</xdr:col>
          <xdr:colOff>0</xdr:colOff>
          <xdr:row>1</xdr:row>
          <xdr:rowOff>635000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FFFFFF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J.P.Morgan</a:t>
              </a:r>
            </a:p>
          </xdr:txBody>
        </xdr:sp>
        <xdr:clientData/>
      </xdr:twoCellAnchor>
    </mc:Choice>
    <mc:Fallback/>
  </mc:AlternateContent>
  <xdr:twoCellAnchor editAs="oneCell">
    <xdr:from>
      <xdr:col>11</xdr:col>
      <xdr:colOff>666748</xdr:colOff>
      <xdr:row>130</xdr:row>
      <xdr:rowOff>46222</xdr:rowOff>
    </xdr:from>
    <xdr:to>
      <xdr:col>13</xdr:col>
      <xdr:colOff>572351</xdr:colOff>
      <xdr:row>147</xdr:row>
      <xdr:rowOff>351468</xdr:rowOff>
    </xdr:to>
    <xdr:pic>
      <xdr:nvPicPr>
        <xdr:cNvPr id="25" name="Picture 24" descr="Home - Cliffwater LLC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5013" y="22032163"/>
          <a:ext cx="2348485" cy="354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983317</xdr:colOff>
      <xdr:row>130</xdr:row>
      <xdr:rowOff>34468</xdr:rowOff>
    </xdr:from>
    <xdr:to>
      <xdr:col>17</xdr:col>
      <xdr:colOff>287404</xdr:colOff>
      <xdr:row>147</xdr:row>
      <xdr:rowOff>405155</xdr:rowOff>
    </xdr:to>
    <xdr:pic>
      <xdr:nvPicPr>
        <xdr:cNvPr id="31" name="Picture 30" descr="Envestnet Announces Business Line Transformation to Streamline and  Accelerate the Growth of Its Financial Wellness Ecosyste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163" b="30504"/>
        <a:stretch/>
      </xdr:blipFill>
      <xdr:spPr bwMode="auto">
        <a:xfrm>
          <a:off x="14430376" y="22020409"/>
          <a:ext cx="1739713" cy="406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1154596</xdr:colOff>
      <xdr:row>130</xdr:row>
      <xdr:rowOff>41522</xdr:rowOff>
    </xdr:from>
    <xdr:to>
      <xdr:col>21</xdr:col>
      <xdr:colOff>134149</xdr:colOff>
      <xdr:row>147</xdr:row>
      <xdr:rowOff>393779</xdr:rowOff>
    </xdr:to>
    <xdr:pic>
      <xdr:nvPicPr>
        <xdr:cNvPr id="32" name="Picture 31" descr="J.P. Morgan | Official Websit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48" r="3705"/>
        <a:stretch/>
      </xdr:blipFill>
      <xdr:spPr bwMode="auto">
        <a:xfrm>
          <a:off x="18400449" y="22027463"/>
          <a:ext cx="1411551" cy="402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43</xdr:row>
      <xdr:rowOff>0</xdr:rowOff>
    </xdr:from>
    <xdr:to>
      <xdr:col>5</xdr:col>
      <xdr:colOff>1190625</xdr:colOff>
      <xdr:row>63</xdr:row>
      <xdr:rowOff>140970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6800" y="5930900"/>
              <a:ext cx="3984625" cy="3696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43</xdr:row>
      <xdr:rowOff>0</xdr:rowOff>
    </xdr:from>
    <xdr:to>
      <xdr:col>9</xdr:col>
      <xdr:colOff>1190626</xdr:colOff>
      <xdr:row>63</xdr:row>
      <xdr:rowOff>140970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8" name="Chart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80200" y="5930900"/>
              <a:ext cx="3984626" cy="3696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43</xdr:row>
      <xdr:rowOff>0</xdr:rowOff>
    </xdr:from>
    <xdr:to>
      <xdr:col>13</xdr:col>
      <xdr:colOff>1190626</xdr:colOff>
      <xdr:row>63</xdr:row>
      <xdr:rowOff>140970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9" name="Chart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3600" y="5930900"/>
              <a:ext cx="3984626" cy="3696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0</xdr:colOff>
      <xdr:row>43</xdr:row>
      <xdr:rowOff>0</xdr:rowOff>
    </xdr:from>
    <xdr:to>
      <xdr:col>21</xdr:col>
      <xdr:colOff>1190626</xdr:colOff>
      <xdr:row>63</xdr:row>
      <xdr:rowOff>140970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1" name="Chart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0400" y="5930900"/>
              <a:ext cx="3984626" cy="3696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71</xdr:row>
      <xdr:rowOff>0</xdr:rowOff>
    </xdr:from>
    <xdr:to>
      <xdr:col>5</xdr:col>
      <xdr:colOff>1190626</xdr:colOff>
      <xdr:row>91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2" name="Chart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6800" y="112522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71</xdr:row>
      <xdr:rowOff>0</xdr:rowOff>
    </xdr:from>
    <xdr:to>
      <xdr:col>9</xdr:col>
      <xdr:colOff>1214718</xdr:colOff>
      <xdr:row>91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3" name="Chart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80200" y="11252200"/>
              <a:ext cx="4008718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71</xdr:row>
      <xdr:rowOff>0</xdr:rowOff>
    </xdr:from>
    <xdr:to>
      <xdr:col>13</xdr:col>
      <xdr:colOff>1190626</xdr:colOff>
      <xdr:row>91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4" name="Chart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3600" y="112522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0</xdr:colOff>
      <xdr:row>71</xdr:row>
      <xdr:rowOff>0</xdr:rowOff>
    </xdr:from>
    <xdr:to>
      <xdr:col>17</xdr:col>
      <xdr:colOff>1190626</xdr:colOff>
      <xdr:row>91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5" name="Chart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67000" y="112522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0</xdr:colOff>
      <xdr:row>71</xdr:row>
      <xdr:rowOff>0</xdr:rowOff>
    </xdr:from>
    <xdr:to>
      <xdr:col>21</xdr:col>
      <xdr:colOff>1190626</xdr:colOff>
      <xdr:row>91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6" name="Chart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0400" y="112522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99</xdr:row>
      <xdr:rowOff>0</xdr:rowOff>
    </xdr:from>
    <xdr:to>
      <xdr:col>5</xdr:col>
      <xdr:colOff>1190626</xdr:colOff>
      <xdr:row>119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7" name="Chart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6800" y="165735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99</xdr:row>
      <xdr:rowOff>0</xdr:rowOff>
    </xdr:from>
    <xdr:to>
      <xdr:col>9</xdr:col>
      <xdr:colOff>1190626</xdr:colOff>
      <xdr:row>119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8" name="Chart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80200" y="165735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99</xdr:row>
      <xdr:rowOff>0</xdr:rowOff>
    </xdr:from>
    <xdr:to>
      <xdr:col>13</xdr:col>
      <xdr:colOff>1190626</xdr:colOff>
      <xdr:row>119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9" name="Chart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3600" y="165735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0</xdr:colOff>
      <xdr:row>99</xdr:row>
      <xdr:rowOff>0</xdr:rowOff>
    </xdr:from>
    <xdr:to>
      <xdr:col>17</xdr:col>
      <xdr:colOff>1190626</xdr:colOff>
      <xdr:row>119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0" name="Chart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67000" y="165735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0</xdr:colOff>
      <xdr:row>99</xdr:row>
      <xdr:rowOff>0</xdr:rowOff>
    </xdr:from>
    <xdr:to>
      <xdr:col>21</xdr:col>
      <xdr:colOff>1190626</xdr:colOff>
      <xdr:row>119</xdr:row>
      <xdr:rowOff>140971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1" name="Chart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0400" y="16573500"/>
              <a:ext cx="3984626" cy="36969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11</xdr:col>
      <xdr:colOff>666748</xdr:colOff>
      <xdr:row>150</xdr:row>
      <xdr:rowOff>46222</xdr:rowOff>
    </xdr:from>
    <xdr:ext cx="2348485" cy="354189"/>
    <xdr:pic>
      <xdr:nvPicPr>
        <xdr:cNvPr id="56" name="Picture 55" descr="Home - Cliffwater LLC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5013" y="27758369"/>
          <a:ext cx="2348485" cy="354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983317</xdr:colOff>
      <xdr:row>150</xdr:row>
      <xdr:rowOff>34468</xdr:rowOff>
    </xdr:from>
    <xdr:ext cx="1739713" cy="406062"/>
    <xdr:pic>
      <xdr:nvPicPr>
        <xdr:cNvPr id="57" name="Picture 56" descr="Envestnet Announces Business Line Transformation to Streamline and  Accelerate the Growth of Its Financial Wellness Ecosystem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163" b="30504"/>
        <a:stretch/>
      </xdr:blipFill>
      <xdr:spPr bwMode="auto">
        <a:xfrm>
          <a:off x="14430376" y="22020409"/>
          <a:ext cx="1739713" cy="406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19</xdr:col>
      <xdr:colOff>1154596</xdr:colOff>
      <xdr:row>150</xdr:row>
      <xdr:rowOff>41522</xdr:rowOff>
    </xdr:from>
    <xdr:ext cx="1411551" cy="402849"/>
    <xdr:pic>
      <xdr:nvPicPr>
        <xdr:cNvPr id="58" name="Picture 57" descr="J.P. Morgan | Official Website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5148" r="3705"/>
        <a:stretch/>
      </xdr:blipFill>
      <xdr:spPr bwMode="auto">
        <a:xfrm>
          <a:off x="18400449" y="22027463"/>
          <a:ext cx="1411551" cy="4028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3</xdr:col>
      <xdr:colOff>1165418</xdr:colOff>
      <xdr:row>157</xdr:row>
      <xdr:rowOff>11206</xdr:rowOff>
    </xdr:from>
    <xdr:to>
      <xdr:col>4</xdr:col>
      <xdr:colOff>857287</xdr:colOff>
      <xdr:row>161</xdr:row>
      <xdr:rowOff>72</xdr:rowOff>
    </xdr:to>
    <xdr:pic>
      <xdr:nvPicPr>
        <xdr:cNvPr id="59" name="Graphic 58" descr="Bar graph with upward trend with solid fill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16094" y="30793765"/>
          <a:ext cx="910590" cy="926615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1143000</xdr:colOff>
      <xdr:row>170</xdr:row>
      <xdr:rowOff>11207</xdr:rowOff>
    </xdr:from>
    <xdr:to>
      <xdr:col>4</xdr:col>
      <xdr:colOff>855642</xdr:colOff>
      <xdr:row>174</xdr:row>
      <xdr:rowOff>842</xdr:rowOff>
    </xdr:to>
    <xdr:pic>
      <xdr:nvPicPr>
        <xdr:cNvPr id="62" name="Graphic 61" descr="Flying Money with solid fill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193676" y="33852972"/>
          <a:ext cx="927735" cy="930929"/>
        </a:xfrm>
        <a:prstGeom prst="rect">
          <a:avLst/>
        </a:prstGeom>
      </xdr:spPr>
    </xdr:pic>
    <xdr:clientData/>
  </xdr:twoCellAnchor>
  <xdr:twoCellAnchor editAs="oneCell">
    <xdr:from>
      <xdr:col>3</xdr:col>
      <xdr:colOff>1109382</xdr:colOff>
      <xdr:row>183</xdr:row>
      <xdr:rowOff>22421</xdr:rowOff>
    </xdr:from>
    <xdr:to>
      <xdr:col>4</xdr:col>
      <xdr:colOff>798530</xdr:colOff>
      <xdr:row>187</xdr:row>
      <xdr:rowOff>16501</xdr:rowOff>
    </xdr:to>
    <xdr:pic>
      <xdr:nvPicPr>
        <xdr:cNvPr id="63" name="Graphic 62" descr="Piggy Bank with solid fill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60058" y="36363097"/>
          <a:ext cx="910590" cy="929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692466</xdr:colOff>
      <xdr:row>4</xdr:row>
      <xdr:rowOff>20239</xdr:rowOff>
    </xdr:from>
    <xdr:to>
      <xdr:col>16</xdr:col>
      <xdr:colOff>291083</xdr:colOff>
      <xdr:row>5</xdr:row>
      <xdr:rowOff>20002</xdr:rowOff>
    </xdr:to>
    <xdr:sp macro="[0]!SolverV3" textlink="">
      <xdr:nvSpPr>
        <xdr:cNvPr id="4" name="Flowchart: Proces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061935" y="901302"/>
          <a:ext cx="1289304" cy="392669"/>
        </a:xfrm>
        <a:prstGeom prst="flowChartProcess">
          <a:avLst/>
        </a:prstGeom>
        <a:gradFill>
          <a:gsLst>
            <a:gs pos="0">
              <a:schemeClr val="accent1">
                <a:lumMod val="5000"/>
                <a:lumOff val="95000"/>
                <a:alpha val="70000"/>
              </a:schemeClr>
            </a:gs>
            <a:gs pos="29000">
              <a:schemeClr val="accent1">
                <a:lumMod val="45000"/>
                <a:lumOff val="55000"/>
              </a:schemeClr>
            </a:gs>
            <a:gs pos="82000">
              <a:schemeClr val="accent1">
                <a:lumMod val="45000"/>
                <a:lumOff val="55000"/>
              </a:schemeClr>
            </a:gs>
            <a:gs pos="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</a:gradFill>
        <a:ln w="19050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</a:t>
          </a:r>
        </a:p>
      </xdr:txBody>
    </xdr:sp>
    <xdr:clientData/>
  </xdr:twoCellAnchor>
  <xdr:twoCellAnchor>
    <xdr:from>
      <xdr:col>12</xdr:col>
      <xdr:colOff>200981</xdr:colOff>
      <xdr:row>69</xdr:row>
      <xdr:rowOff>47625</xdr:rowOff>
    </xdr:from>
    <xdr:to>
      <xdr:col>16</xdr:col>
      <xdr:colOff>648818</xdr:colOff>
      <xdr:row>71</xdr:row>
      <xdr:rowOff>46671</xdr:rowOff>
    </xdr:to>
    <xdr:sp macro="[0]!ClearConstraints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4308637" y="11477625"/>
          <a:ext cx="1269369" cy="606265"/>
        </a:xfrm>
        <a:prstGeom prst="flowChartProcess">
          <a:avLst/>
        </a:prstGeom>
        <a:gradFill flip="none" rotWithShape="1">
          <a:gsLst>
            <a:gs pos="0">
              <a:schemeClr val="accent1">
                <a:lumMod val="5000"/>
                <a:lumOff val="95000"/>
                <a:alpha val="70000"/>
              </a:schemeClr>
            </a:gs>
            <a:gs pos="29000">
              <a:schemeClr val="accent1">
                <a:lumMod val="45000"/>
                <a:lumOff val="55000"/>
              </a:schemeClr>
            </a:gs>
            <a:gs pos="82000">
              <a:schemeClr val="accent1">
                <a:lumMod val="45000"/>
                <a:lumOff val="55000"/>
              </a:schemeClr>
            </a:gs>
            <a:gs pos="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ln w="19050"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</a:t>
          </a:r>
          <a:r>
            <a:rPr lang="en-US" sz="1400" b="1" baseline="0"/>
            <a:t> Constraints</a:t>
          </a:r>
          <a:endParaRPr lang="en-US" sz="1400" b="1"/>
        </a:p>
      </xdr:txBody>
    </xdr:sp>
    <xdr:clientData/>
  </xdr:twoCellAnchor>
  <xdr:twoCellAnchor>
    <xdr:from>
      <xdr:col>18</xdr:col>
      <xdr:colOff>632143</xdr:colOff>
      <xdr:row>70</xdr:row>
      <xdr:rowOff>33190</xdr:rowOff>
    </xdr:from>
    <xdr:to>
      <xdr:col>48</xdr:col>
      <xdr:colOff>60167</xdr:colOff>
      <xdr:row>70</xdr:row>
      <xdr:rowOff>33190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7240112" y="11820378"/>
          <a:ext cx="13441680" cy="0"/>
        </a:xfrm>
        <a:prstGeom prst="line">
          <a:avLst/>
        </a:prstGeom>
        <a:ln w="7620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</xdr:colOff>
      <xdr:row>1</xdr:row>
      <xdr:rowOff>142874</xdr:rowOff>
    </xdr:from>
    <xdr:to>
      <xdr:col>3</xdr:col>
      <xdr:colOff>554822</xdr:colOff>
      <xdr:row>2</xdr:row>
      <xdr:rowOff>364559</xdr:rowOff>
    </xdr:to>
    <xdr:pic>
      <xdr:nvPicPr>
        <xdr:cNvPr id="15" name="Picture 14" descr="iCapital – Powering the World's Alternative Investment Marketplace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446" r="2990"/>
        <a:stretch/>
      </xdr:blipFill>
      <xdr:spPr bwMode="auto">
        <a:xfrm>
          <a:off x="178595" y="250030"/>
          <a:ext cx="2013848" cy="607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47626</xdr:colOff>
      <xdr:row>29</xdr:row>
      <xdr:rowOff>178589</xdr:rowOff>
    </xdr:from>
    <xdr:to>
      <xdr:col>27</xdr:col>
      <xdr:colOff>154782</xdr:colOff>
      <xdr:row>48</xdr:row>
      <xdr:rowOff>107151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04126" y="6731789"/>
              <a:ext cx="5187156" cy="45767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28</xdr:col>
      <xdr:colOff>250034</xdr:colOff>
      <xdr:row>29</xdr:row>
      <xdr:rowOff>166687</xdr:rowOff>
    </xdr:from>
    <xdr:to>
      <xdr:col>38</xdr:col>
      <xdr:colOff>666752</xdr:colOff>
      <xdr:row>48</xdr:row>
      <xdr:rowOff>95249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05634" y="6719887"/>
              <a:ext cx="5103018" cy="45767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38</xdr:col>
      <xdr:colOff>1095375</xdr:colOff>
      <xdr:row>29</xdr:row>
      <xdr:rowOff>166687</xdr:rowOff>
    </xdr:from>
    <xdr:to>
      <xdr:col>49</xdr:col>
      <xdr:colOff>238125</xdr:colOff>
      <xdr:row>48</xdr:row>
      <xdr:rowOff>95249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37275" y="6719887"/>
              <a:ext cx="5416550" cy="45767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1309673</xdr:colOff>
      <xdr:row>72</xdr:row>
      <xdr:rowOff>47625</xdr:rowOff>
    </xdr:from>
    <xdr:to>
      <xdr:col>33</xdr:col>
      <xdr:colOff>440517</xdr:colOff>
      <xdr:row>95</xdr:row>
      <xdr:rowOff>178594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75873" y="12265025"/>
              <a:ext cx="5315744" cy="4575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34</xdr:col>
      <xdr:colOff>464334</xdr:colOff>
      <xdr:row>72</xdr:row>
      <xdr:rowOff>47625</xdr:rowOff>
    </xdr:from>
    <xdr:to>
      <xdr:col>43</xdr:col>
      <xdr:colOff>226209</xdr:colOff>
      <xdr:row>95</xdr:row>
      <xdr:rowOff>178594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1" name="Chart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74234" y="12265025"/>
              <a:ext cx="5248275" cy="4575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261936</xdr:colOff>
      <xdr:row>34</xdr:row>
      <xdr:rowOff>95250</xdr:rowOff>
    </xdr:from>
    <xdr:to>
      <xdr:col>23</xdr:col>
      <xdr:colOff>202406</xdr:colOff>
      <xdr:row>40</xdr:row>
      <xdr:rowOff>166688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108155" y="8298656"/>
          <a:ext cx="1690689" cy="1357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tx2"/>
              </a:solidFill>
            </a:rPr>
            <a:t>Capital Appreciation</a:t>
          </a:r>
        </a:p>
      </xdr:txBody>
    </xdr:sp>
    <xdr:clientData/>
  </xdr:twoCellAnchor>
  <xdr:twoCellAnchor>
    <xdr:from>
      <xdr:col>32</xdr:col>
      <xdr:colOff>261941</xdr:colOff>
      <xdr:row>34</xdr:row>
      <xdr:rowOff>59531</xdr:rowOff>
    </xdr:from>
    <xdr:to>
      <xdr:col>36</xdr:col>
      <xdr:colOff>23813</xdr:colOff>
      <xdr:row>41</xdr:row>
      <xdr:rowOff>59531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13180222" y="8262937"/>
          <a:ext cx="1631154" cy="150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tx2"/>
              </a:solidFill>
            </a:rPr>
            <a:t>Capital</a:t>
          </a:r>
        </a:p>
        <a:p>
          <a:pPr algn="ctr"/>
          <a:r>
            <a:rPr lang="en-US" sz="1800" b="1">
              <a:solidFill>
                <a:schemeClr val="tx2"/>
              </a:solidFill>
            </a:rPr>
            <a:t>Income</a:t>
          </a:r>
        </a:p>
      </xdr:txBody>
    </xdr:sp>
    <xdr:clientData/>
  </xdr:twoCellAnchor>
  <xdr:twoCellAnchor>
    <xdr:from>
      <xdr:col>41</xdr:col>
      <xdr:colOff>357187</xdr:colOff>
      <xdr:row>34</xdr:row>
      <xdr:rowOff>83343</xdr:rowOff>
    </xdr:from>
    <xdr:to>
      <xdr:col>46</xdr:col>
      <xdr:colOff>23814</xdr:colOff>
      <xdr:row>40</xdr:row>
      <xdr:rowOff>154781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18145125" y="8286749"/>
          <a:ext cx="1690689" cy="1357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tx2"/>
              </a:solidFill>
            </a:rPr>
            <a:t>Capital Preservation</a:t>
          </a:r>
        </a:p>
      </xdr:txBody>
    </xdr:sp>
    <xdr:clientData/>
  </xdr:twoCellAnchor>
  <xdr:twoCellAnchor>
    <xdr:from>
      <xdr:col>25</xdr:col>
      <xdr:colOff>297642</xdr:colOff>
      <xdr:row>80</xdr:row>
      <xdr:rowOff>71436</xdr:rowOff>
    </xdr:from>
    <xdr:to>
      <xdr:col>30</xdr:col>
      <xdr:colOff>142862</xdr:colOff>
      <xdr:row>88</xdr:row>
      <xdr:rowOff>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0632267" y="13823155"/>
          <a:ext cx="1690689" cy="1512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tx2"/>
              </a:solidFill>
            </a:rPr>
            <a:t>Traditional 60/40</a:t>
          </a:r>
        </a:p>
      </xdr:txBody>
    </xdr:sp>
    <xdr:clientData/>
  </xdr:twoCellAnchor>
  <xdr:twoCellAnchor>
    <xdr:from>
      <xdr:col>38</xdr:col>
      <xdr:colOff>130959</xdr:colOff>
      <xdr:row>80</xdr:row>
      <xdr:rowOff>47625</xdr:rowOff>
    </xdr:from>
    <xdr:to>
      <xdr:col>39</xdr:col>
      <xdr:colOff>345281</xdr:colOff>
      <xdr:row>87</xdr:row>
      <xdr:rowOff>142875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15728147" y="13799344"/>
          <a:ext cx="1595447" cy="1488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tx2"/>
              </a:solidFill>
            </a:rPr>
            <a:t>Equal Weighted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41564</xdr:colOff>
      <xdr:row>22</xdr:row>
      <xdr:rowOff>139931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590551</xdr:colOff>
      <xdr:row>11</xdr:row>
      <xdr:rowOff>184149</xdr:rowOff>
    </xdr:from>
    <xdr:to>
      <xdr:col>6</xdr:col>
      <xdr:colOff>32303</xdr:colOff>
      <xdr:row>20</xdr:row>
      <xdr:rowOff>153650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1" y="2209799"/>
          <a:ext cx="4077252" cy="16268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blp/data/209345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personal/nweaver_icapitalnetwork_com/Documents/Documents/Chart%20Dashboard/Chart%20book%20mis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ckers"/>
      <sheetName val="BQL Virus Examples"/>
      <sheetName val="Global Vaccine Doses"/>
      <sheetName val="Global Completed Vaccinations"/>
      <sheetName val="Country Change on Day"/>
      <sheetName val="Single Country"/>
      <sheetName val="Country Comparison"/>
      <sheetName val="States Change on Day"/>
      <sheetName val="Single US State"/>
      <sheetName val="US State Comparison"/>
      <sheetName val="US State Test Data"/>
      <sheetName val="US Vaccinations"/>
      <sheetName val="US Hospitalization Data"/>
      <sheetName val="Moovit"/>
      <sheetName val="Resources"/>
    </sheetNames>
    <sheetDataSet>
      <sheetData sheetId="0"/>
      <sheetData sheetId="1"/>
      <sheetData sheetId="2"/>
      <sheetData sheetId="3"/>
      <sheetData sheetId="4">
        <row r="30">
          <cell r="C30">
            <v>35952605</v>
          </cell>
          <cell r="D30" t="str">
            <v>U.S.</v>
          </cell>
          <cell r="G30">
            <v>617437</v>
          </cell>
          <cell r="H30" t="str">
            <v>U.S.</v>
          </cell>
          <cell r="K30">
            <v>1782525000</v>
          </cell>
          <cell r="L30" t="str">
            <v>China</v>
          </cell>
        </row>
        <row r="31">
          <cell r="C31">
            <v>31998158</v>
          </cell>
          <cell r="G31">
            <v>563562</v>
          </cell>
          <cell r="K31">
            <v>508664759</v>
          </cell>
        </row>
        <row r="32">
          <cell r="C32">
            <v>20177757</v>
          </cell>
          <cell r="G32">
            <v>428682</v>
          </cell>
          <cell r="K32">
            <v>351933175</v>
          </cell>
        </row>
        <row r="33">
          <cell r="C33">
            <v>6404960</v>
          </cell>
          <cell r="G33">
            <v>244690</v>
          </cell>
          <cell r="K33">
            <v>152989038</v>
          </cell>
        </row>
        <row r="34">
          <cell r="C34">
            <v>6375268</v>
          </cell>
          <cell r="G34">
            <v>197029</v>
          </cell>
          <cell r="K34">
            <v>99646053</v>
          </cell>
        </row>
        <row r="35">
          <cell r="C35">
            <v>6123191</v>
          </cell>
          <cell r="G35">
            <v>163629</v>
          </cell>
          <cell r="K35">
            <v>95010040</v>
          </cell>
        </row>
        <row r="36">
          <cell r="C36">
            <v>5942241</v>
          </cell>
          <cell r="G36">
            <v>130667</v>
          </cell>
          <cell r="K36">
            <v>86611177</v>
          </cell>
        </row>
        <row r="37">
          <cell r="C37">
            <v>5029075</v>
          </cell>
          <cell r="G37">
            <v>128242</v>
          </cell>
          <cell r="K37">
            <v>78318645</v>
          </cell>
        </row>
        <row r="38">
          <cell r="C38">
            <v>4843007</v>
          </cell>
          <cell r="G38">
            <v>122601</v>
          </cell>
          <cell r="K38">
            <v>77684178</v>
          </cell>
        </row>
        <row r="39">
          <cell r="C39">
            <v>4627770</v>
          </cell>
          <cell r="G39">
            <v>112430</v>
          </cell>
          <cell r="K39">
            <v>75453572</v>
          </cell>
        </row>
        <row r="40">
          <cell r="C40"/>
          <cell r="G40"/>
          <cell r="K40"/>
        </row>
        <row r="41">
          <cell r="C41"/>
          <cell r="G41"/>
          <cell r="K41"/>
        </row>
        <row r="42">
          <cell r="C42"/>
          <cell r="G42"/>
          <cell r="K42"/>
        </row>
        <row r="43">
          <cell r="C43"/>
          <cell r="G43"/>
          <cell r="K43"/>
        </row>
        <row r="44">
          <cell r="C44"/>
          <cell r="G44"/>
          <cell r="K44"/>
        </row>
        <row r="45">
          <cell r="C45"/>
          <cell r="G45"/>
          <cell r="K45"/>
        </row>
        <row r="46">
          <cell r="C46"/>
          <cell r="G46"/>
          <cell r="K46"/>
        </row>
        <row r="47">
          <cell r="C47"/>
          <cell r="G47"/>
          <cell r="K47"/>
        </row>
        <row r="48">
          <cell r="C48"/>
          <cell r="G48"/>
          <cell r="K48"/>
        </row>
        <row r="49">
          <cell r="C49"/>
          <cell r="G49"/>
          <cell r="K49"/>
        </row>
        <row r="50">
          <cell r="C50"/>
          <cell r="G50"/>
          <cell r="K50"/>
        </row>
        <row r="51">
          <cell r="C51"/>
          <cell r="G51"/>
          <cell r="K51"/>
        </row>
        <row r="52">
          <cell r="C52"/>
          <cell r="G52"/>
          <cell r="K52"/>
        </row>
      </sheetData>
      <sheetData sheetId="5">
        <row r="21">
          <cell r="K21">
            <v>43889</v>
          </cell>
          <cell r="L21">
            <v>17</v>
          </cell>
          <cell r="M21">
            <v>0</v>
          </cell>
          <cell r="O21"/>
          <cell r="P21">
            <v>0</v>
          </cell>
          <cell r="Q21">
            <v>0.41176470588235292</v>
          </cell>
          <cell r="R21">
            <v>0</v>
          </cell>
        </row>
        <row r="22">
          <cell r="K22">
            <v>43890</v>
          </cell>
          <cell r="R22">
            <v>-8</v>
          </cell>
        </row>
        <row r="23">
          <cell r="K23">
            <v>43891</v>
          </cell>
          <cell r="R23">
            <v>-7</v>
          </cell>
        </row>
        <row r="24">
          <cell r="K24">
            <v>43892</v>
          </cell>
          <cell r="R24">
            <v>-23</v>
          </cell>
        </row>
        <row r="25">
          <cell r="K25">
            <v>43893</v>
          </cell>
          <cell r="R25">
            <v>-19</v>
          </cell>
        </row>
        <row r="26">
          <cell r="K26">
            <v>43894</v>
          </cell>
          <cell r="R26">
            <v>-33</v>
          </cell>
        </row>
        <row r="27">
          <cell r="K27">
            <v>43895</v>
          </cell>
          <cell r="R27">
            <v>-77</v>
          </cell>
        </row>
        <row r="28">
          <cell r="K28">
            <v>43896</v>
          </cell>
          <cell r="R28">
            <v>-53</v>
          </cell>
        </row>
        <row r="29">
          <cell r="K29">
            <v>43897</v>
          </cell>
          <cell r="R29">
            <v>-166</v>
          </cell>
        </row>
        <row r="30">
          <cell r="K30">
            <v>43898</v>
          </cell>
          <cell r="R30">
            <v>-116</v>
          </cell>
        </row>
        <row r="31">
          <cell r="K31">
            <v>43899</v>
          </cell>
          <cell r="R31">
            <v>-75</v>
          </cell>
        </row>
        <row r="32">
          <cell r="K32">
            <v>43900</v>
          </cell>
          <cell r="R32">
            <v>-187</v>
          </cell>
        </row>
        <row r="33">
          <cell r="K33">
            <v>43901</v>
          </cell>
          <cell r="R33">
            <v>-365</v>
          </cell>
        </row>
        <row r="34">
          <cell r="K34">
            <v>43902</v>
          </cell>
          <cell r="R34">
            <v>-435</v>
          </cell>
        </row>
        <row r="35">
          <cell r="K35">
            <v>43903</v>
          </cell>
          <cell r="R35">
            <v>-633</v>
          </cell>
        </row>
        <row r="36">
          <cell r="K36">
            <v>43904</v>
          </cell>
          <cell r="R36">
            <v>-759</v>
          </cell>
        </row>
        <row r="37">
          <cell r="K37">
            <v>43905</v>
          </cell>
          <cell r="R37">
            <v>-234</v>
          </cell>
        </row>
        <row r="38">
          <cell r="K38">
            <v>43906</v>
          </cell>
          <cell r="R38">
            <v>-1462</v>
          </cell>
        </row>
        <row r="39">
          <cell r="K39">
            <v>43907</v>
          </cell>
          <cell r="R39">
            <v>-1833</v>
          </cell>
        </row>
        <row r="40">
          <cell r="K40">
            <v>43908</v>
          </cell>
          <cell r="R40">
            <v>-2569</v>
          </cell>
        </row>
        <row r="41">
          <cell r="K41">
            <v>43909</v>
          </cell>
          <cell r="R41">
            <v>-4478</v>
          </cell>
        </row>
        <row r="42">
          <cell r="K42">
            <v>43910</v>
          </cell>
          <cell r="R42">
            <v>-6341</v>
          </cell>
        </row>
        <row r="43">
          <cell r="K43">
            <v>43911</v>
          </cell>
          <cell r="R43">
            <v>-5966</v>
          </cell>
        </row>
        <row r="44">
          <cell r="K44">
            <v>43912</v>
          </cell>
          <cell r="R44">
            <v>-8871</v>
          </cell>
        </row>
        <row r="45">
          <cell r="K45">
            <v>43913</v>
          </cell>
          <cell r="R45">
            <v>-11238</v>
          </cell>
        </row>
        <row r="46">
          <cell r="K46">
            <v>43914</v>
          </cell>
          <cell r="R46">
            <v>-10449</v>
          </cell>
        </row>
        <row r="47">
          <cell r="K47">
            <v>43915</v>
          </cell>
          <cell r="R47">
            <v>-12069</v>
          </cell>
        </row>
        <row r="48">
          <cell r="K48">
            <v>43916</v>
          </cell>
          <cell r="R48">
            <v>-17536</v>
          </cell>
        </row>
        <row r="49">
          <cell r="K49">
            <v>43917</v>
          </cell>
          <cell r="R49">
            <v>-18502</v>
          </cell>
        </row>
        <row r="50">
          <cell r="K50">
            <v>43918</v>
          </cell>
          <cell r="R50">
            <v>-19427</v>
          </cell>
        </row>
        <row r="51">
          <cell r="K51">
            <v>43919</v>
          </cell>
          <cell r="R51">
            <v>-17306</v>
          </cell>
        </row>
        <row r="52">
          <cell r="K52">
            <v>43920</v>
          </cell>
          <cell r="R52">
            <v>-19096</v>
          </cell>
        </row>
        <row r="53">
          <cell r="K53">
            <v>43921</v>
          </cell>
          <cell r="R53">
            <v>-24934</v>
          </cell>
        </row>
        <row r="54">
          <cell r="K54">
            <v>43922</v>
          </cell>
          <cell r="R54">
            <v>-30836</v>
          </cell>
        </row>
        <row r="55">
          <cell r="K55">
            <v>43923</v>
          </cell>
          <cell r="R55">
            <v>-31695</v>
          </cell>
        </row>
        <row r="56">
          <cell r="K56">
            <v>43924</v>
          </cell>
          <cell r="R56">
            <v>-31601</v>
          </cell>
        </row>
        <row r="57">
          <cell r="K57">
            <v>43925</v>
          </cell>
          <cell r="R57">
            <v>-27441</v>
          </cell>
        </row>
        <row r="58">
          <cell r="K58">
            <v>43926</v>
          </cell>
          <cell r="R58">
            <v>-27099</v>
          </cell>
        </row>
        <row r="59">
          <cell r="K59">
            <v>43927</v>
          </cell>
          <cell r="R59">
            <v>-29257</v>
          </cell>
        </row>
        <row r="60">
          <cell r="K60">
            <v>43928</v>
          </cell>
          <cell r="R60">
            <v>-28597</v>
          </cell>
        </row>
        <row r="61">
          <cell r="K61">
            <v>43929</v>
          </cell>
          <cell r="R61">
            <v>-29439</v>
          </cell>
        </row>
        <row r="62">
          <cell r="K62">
            <v>43930</v>
          </cell>
          <cell r="R62">
            <v>-34091</v>
          </cell>
        </row>
        <row r="63">
          <cell r="K63">
            <v>43931</v>
          </cell>
          <cell r="R63">
            <v>-31023</v>
          </cell>
        </row>
        <row r="64">
          <cell r="K64">
            <v>43932</v>
          </cell>
          <cell r="R64">
            <v>-26603</v>
          </cell>
        </row>
        <row r="65">
          <cell r="K65">
            <v>43933</v>
          </cell>
          <cell r="R65">
            <v>-25538</v>
          </cell>
        </row>
        <row r="66">
          <cell r="K66">
            <v>43934</v>
          </cell>
          <cell r="R66">
            <v>-16445</v>
          </cell>
        </row>
        <row r="67">
          <cell r="K67">
            <v>43935</v>
          </cell>
          <cell r="R67">
            <v>-24537</v>
          </cell>
        </row>
        <row r="68">
          <cell r="K68">
            <v>43936</v>
          </cell>
          <cell r="R68">
            <v>-21075</v>
          </cell>
        </row>
        <row r="69">
          <cell r="K69">
            <v>43937</v>
          </cell>
          <cell r="R69">
            <v>-27395</v>
          </cell>
        </row>
        <row r="70">
          <cell r="K70">
            <v>43938</v>
          </cell>
          <cell r="R70">
            <v>-29224</v>
          </cell>
        </row>
        <row r="71">
          <cell r="K71">
            <v>43939</v>
          </cell>
          <cell r="R71">
            <v>-21612</v>
          </cell>
        </row>
        <row r="72">
          <cell r="K72">
            <v>43940</v>
          </cell>
          <cell r="R72">
            <v>-20565</v>
          </cell>
        </row>
        <row r="73">
          <cell r="K73">
            <v>43941</v>
          </cell>
          <cell r="R73">
            <v>-27828</v>
          </cell>
        </row>
        <row r="74">
          <cell r="K74">
            <v>43942</v>
          </cell>
          <cell r="R74">
            <v>-23051</v>
          </cell>
        </row>
        <row r="75">
          <cell r="K75">
            <v>43943</v>
          </cell>
          <cell r="R75">
            <v>-26749</v>
          </cell>
        </row>
        <row r="76">
          <cell r="K76">
            <v>43944</v>
          </cell>
          <cell r="R76">
            <v>-30775</v>
          </cell>
        </row>
        <row r="77">
          <cell r="K77">
            <v>43945</v>
          </cell>
          <cell r="R77">
            <v>-13451</v>
          </cell>
        </row>
        <row r="78">
          <cell r="K78">
            <v>43946</v>
          </cell>
          <cell r="R78">
            <v>-29087</v>
          </cell>
        </row>
        <row r="79">
          <cell r="K79">
            <v>43947</v>
          </cell>
          <cell r="R79">
            <v>-19872</v>
          </cell>
        </row>
        <row r="80">
          <cell r="K80">
            <v>43948</v>
          </cell>
          <cell r="R80">
            <v>-19279</v>
          </cell>
        </row>
        <row r="81">
          <cell r="K81">
            <v>43949</v>
          </cell>
          <cell r="R81">
            <v>-20063</v>
          </cell>
        </row>
        <row r="82">
          <cell r="K82">
            <v>43950</v>
          </cell>
          <cell r="R82">
            <v>-21675</v>
          </cell>
        </row>
        <row r="83">
          <cell r="K83">
            <v>43951</v>
          </cell>
          <cell r="R83">
            <v>4022</v>
          </cell>
        </row>
        <row r="84">
          <cell r="K84">
            <v>43952</v>
          </cell>
          <cell r="R84">
            <v>-24839</v>
          </cell>
        </row>
        <row r="85">
          <cell r="K85">
            <v>43953</v>
          </cell>
          <cell r="R85">
            <v>-15981</v>
          </cell>
        </row>
        <row r="86">
          <cell r="K86">
            <v>43954</v>
          </cell>
          <cell r="R86">
            <v>-19551</v>
          </cell>
        </row>
        <row r="87">
          <cell r="K87">
            <v>43955</v>
          </cell>
          <cell r="R87">
            <v>-17040</v>
          </cell>
        </row>
        <row r="88">
          <cell r="K88">
            <v>43956</v>
          </cell>
          <cell r="R88">
            <v>-21917</v>
          </cell>
        </row>
        <row r="89">
          <cell r="K89">
            <v>43957</v>
          </cell>
          <cell r="R89">
            <v>-24450</v>
          </cell>
        </row>
        <row r="90">
          <cell r="K90">
            <v>43958</v>
          </cell>
          <cell r="R90">
            <v>-22303</v>
          </cell>
        </row>
        <row r="91">
          <cell r="K91">
            <v>43959</v>
          </cell>
          <cell r="R91">
            <v>-22873</v>
          </cell>
        </row>
        <row r="92">
          <cell r="K92">
            <v>43960</v>
          </cell>
          <cell r="R92">
            <v>-11635</v>
          </cell>
        </row>
        <row r="93">
          <cell r="K93">
            <v>43961</v>
          </cell>
          <cell r="R93">
            <v>-15170</v>
          </cell>
        </row>
        <row r="94">
          <cell r="K94">
            <v>43962</v>
          </cell>
          <cell r="R94">
            <v>-2734</v>
          </cell>
        </row>
        <row r="95">
          <cell r="K95">
            <v>43963</v>
          </cell>
          <cell r="R95">
            <v>-25373</v>
          </cell>
        </row>
        <row r="96">
          <cell r="K96">
            <v>43964</v>
          </cell>
          <cell r="R96">
            <v>-7290</v>
          </cell>
        </row>
        <row r="97">
          <cell r="K97">
            <v>43965</v>
          </cell>
          <cell r="R97">
            <v>-23833</v>
          </cell>
        </row>
        <row r="98">
          <cell r="K98">
            <v>43966</v>
          </cell>
          <cell r="R98">
            <v>-20400</v>
          </cell>
        </row>
        <row r="99">
          <cell r="K99">
            <v>43967</v>
          </cell>
          <cell r="R99">
            <v>-6506</v>
          </cell>
        </row>
        <row r="100">
          <cell r="K100">
            <v>43968</v>
          </cell>
          <cell r="R100">
            <v>-14499</v>
          </cell>
        </row>
        <row r="101">
          <cell r="K101">
            <v>43969</v>
          </cell>
          <cell r="R101">
            <v>-11476</v>
          </cell>
        </row>
        <row r="102">
          <cell r="K102">
            <v>43970</v>
          </cell>
          <cell r="R102">
            <v>-14765</v>
          </cell>
        </row>
        <row r="103">
          <cell r="K103">
            <v>43971</v>
          </cell>
          <cell r="R103">
            <v>-17805</v>
          </cell>
        </row>
        <row r="104">
          <cell r="K104">
            <v>43972</v>
          </cell>
          <cell r="R104">
            <v>-21663</v>
          </cell>
        </row>
        <row r="105">
          <cell r="K105">
            <v>43973</v>
          </cell>
          <cell r="R105">
            <v>28068</v>
          </cell>
        </row>
        <row r="106">
          <cell r="K106">
            <v>43974</v>
          </cell>
          <cell r="R106">
            <v>-9995</v>
          </cell>
        </row>
        <row r="107">
          <cell r="K107">
            <v>43975</v>
          </cell>
          <cell r="R107">
            <v>-14580</v>
          </cell>
        </row>
        <row r="108">
          <cell r="K108">
            <v>43976</v>
          </cell>
          <cell r="R108">
            <v>-6241</v>
          </cell>
        </row>
        <row r="109">
          <cell r="K109">
            <v>43977</v>
          </cell>
          <cell r="R109">
            <v>-13918</v>
          </cell>
        </row>
        <row r="110">
          <cell r="K110">
            <v>43978</v>
          </cell>
          <cell r="R110">
            <v>-11945</v>
          </cell>
        </row>
        <row r="111">
          <cell r="K111">
            <v>43979</v>
          </cell>
          <cell r="R111">
            <v>-13837</v>
          </cell>
        </row>
        <row r="112">
          <cell r="K112">
            <v>43980</v>
          </cell>
          <cell r="R112">
            <v>-18023</v>
          </cell>
        </row>
        <row r="113">
          <cell r="K113">
            <v>43981</v>
          </cell>
          <cell r="R113">
            <v>-13617</v>
          </cell>
        </row>
        <row r="114">
          <cell r="K114">
            <v>43982</v>
          </cell>
          <cell r="R114">
            <v>9314</v>
          </cell>
        </row>
        <row r="115">
          <cell r="K115">
            <v>43983</v>
          </cell>
          <cell r="R115">
            <v>-3941</v>
          </cell>
        </row>
        <row r="116">
          <cell r="K116">
            <v>43984</v>
          </cell>
          <cell r="R116">
            <v>-15865</v>
          </cell>
        </row>
        <row r="117">
          <cell r="K117">
            <v>43985</v>
          </cell>
          <cell r="R117">
            <v>-4467</v>
          </cell>
        </row>
        <row r="118">
          <cell r="K118">
            <v>43986</v>
          </cell>
          <cell r="R118">
            <v>-15914</v>
          </cell>
        </row>
        <row r="119">
          <cell r="K119">
            <v>43987</v>
          </cell>
          <cell r="R119">
            <v>-18699</v>
          </cell>
        </row>
        <row r="120">
          <cell r="K120">
            <v>43988</v>
          </cell>
          <cell r="R120">
            <v>-11999</v>
          </cell>
        </row>
        <row r="121">
          <cell r="K121">
            <v>43989</v>
          </cell>
          <cell r="R121">
            <v>-12410</v>
          </cell>
        </row>
        <row r="122">
          <cell r="K122">
            <v>43990</v>
          </cell>
          <cell r="R122">
            <v>-5461</v>
          </cell>
        </row>
        <row r="123">
          <cell r="K123">
            <v>43991</v>
          </cell>
          <cell r="R123">
            <v>-12050</v>
          </cell>
        </row>
        <row r="124">
          <cell r="K124">
            <v>43992</v>
          </cell>
          <cell r="R124">
            <v>-12462</v>
          </cell>
        </row>
        <row r="125">
          <cell r="K125">
            <v>43993</v>
          </cell>
          <cell r="R125">
            <v>-18025</v>
          </cell>
        </row>
        <row r="126">
          <cell r="K126">
            <v>43994</v>
          </cell>
          <cell r="R126">
            <v>-16087</v>
          </cell>
        </row>
        <row r="127">
          <cell r="K127">
            <v>43995</v>
          </cell>
          <cell r="R127">
            <v>-15992</v>
          </cell>
        </row>
        <row r="128">
          <cell r="K128">
            <v>43996</v>
          </cell>
          <cell r="R128">
            <v>-13731</v>
          </cell>
        </row>
        <row r="129">
          <cell r="K129">
            <v>43997</v>
          </cell>
          <cell r="R129">
            <v>-5309</v>
          </cell>
        </row>
        <row r="130">
          <cell r="K130">
            <v>43998</v>
          </cell>
          <cell r="R130">
            <v>-16498</v>
          </cell>
        </row>
        <row r="131">
          <cell r="K131">
            <v>43999</v>
          </cell>
          <cell r="R131">
            <v>-18384</v>
          </cell>
        </row>
        <row r="132">
          <cell r="K132">
            <v>44000</v>
          </cell>
          <cell r="R132">
            <v>-21613</v>
          </cell>
        </row>
        <row r="133">
          <cell r="K133">
            <v>44001</v>
          </cell>
          <cell r="R133">
            <v>-23944</v>
          </cell>
        </row>
        <row r="134">
          <cell r="K134">
            <v>44002</v>
          </cell>
          <cell r="R134">
            <v>-21535</v>
          </cell>
        </row>
        <row r="135">
          <cell r="K135">
            <v>44003</v>
          </cell>
          <cell r="R135">
            <v>-20477</v>
          </cell>
        </row>
        <row r="136">
          <cell r="K136">
            <v>44004</v>
          </cell>
          <cell r="R136">
            <v>-14079</v>
          </cell>
        </row>
        <row r="137">
          <cell r="K137">
            <v>44005</v>
          </cell>
          <cell r="R137">
            <v>-29722</v>
          </cell>
        </row>
        <row r="138">
          <cell r="K138">
            <v>44006</v>
          </cell>
          <cell r="R138">
            <v>-27265</v>
          </cell>
        </row>
        <row r="139">
          <cell r="K139">
            <v>44007</v>
          </cell>
          <cell r="R139">
            <v>-32925</v>
          </cell>
        </row>
        <row r="140">
          <cell r="K140">
            <v>44008</v>
          </cell>
          <cell r="R140">
            <v>-38752</v>
          </cell>
        </row>
        <row r="141">
          <cell r="K141">
            <v>44009</v>
          </cell>
          <cell r="R141">
            <v>-32831</v>
          </cell>
        </row>
        <row r="142">
          <cell r="K142">
            <v>44010</v>
          </cell>
          <cell r="R142">
            <v>-34878</v>
          </cell>
        </row>
        <row r="143">
          <cell r="K143">
            <v>44011</v>
          </cell>
          <cell r="R143">
            <v>-21260</v>
          </cell>
        </row>
        <row r="144">
          <cell r="K144">
            <v>44012</v>
          </cell>
          <cell r="R144">
            <v>-30992</v>
          </cell>
        </row>
        <row r="145">
          <cell r="K145">
            <v>44013</v>
          </cell>
          <cell r="R145">
            <v>-42457</v>
          </cell>
        </row>
        <row r="146">
          <cell r="K146">
            <v>44014</v>
          </cell>
          <cell r="R146">
            <v>-4660</v>
          </cell>
        </row>
        <row r="147">
          <cell r="K147">
            <v>44015</v>
          </cell>
          <cell r="R147">
            <v>-42917</v>
          </cell>
        </row>
        <row r="148">
          <cell r="K148">
            <v>44016</v>
          </cell>
          <cell r="R148">
            <v>58228</v>
          </cell>
        </row>
        <row r="149">
          <cell r="K149">
            <v>44017</v>
          </cell>
          <cell r="R149">
            <v>-38309</v>
          </cell>
        </row>
        <row r="150">
          <cell r="K150">
            <v>44018</v>
          </cell>
          <cell r="R150">
            <v>-25721</v>
          </cell>
        </row>
        <row r="151">
          <cell r="K151">
            <v>44019</v>
          </cell>
          <cell r="R151">
            <v>-48333</v>
          </cell>
        </row>
        <row r="152">
          <cell r="K152">
            <v>44020</v>
          </cell>
          <cell r="R152">
            <v>-43175</v>
          </cell>
        </row>
        <row r="153">
          <cell r="K153">
            <v>44021</v>
          </cell>
          <cell r="R153">
            <v>-46818</v>
          </cell>
        </row>
        <row r="154">
          <cell r="K154">
            <v>44022</v>
          </cell>
          <cell r="R154">
            <v>-53983</v>
          </cell>
        </row>
        <row r="155">
          <cell r="K155">
            <v>44023</v>
          </cell>
          <cell r="R155">
            <v>-47626</v>
          </cell>
        </row>
        <row r="156">
          <cell r="K156">
            <v>44024</v>
          </cell>
          <cell r="R156">
            <v>-47674</v>
          </cell>
        </row>
        <row r="157">
          <cell r="K157">
            <v>44025</v>
          </cell>
          <cell r="R157">
            <v>-33400</v>
          </cell>
        </row>
        <row r="158">
          <cell r="K158">
            <v>44026</v>
          </cell>
          <cell r="R158">
            <v>-50809</v>
          </cell>
        </row>
        <row r="159">
          <cell r="K159">
            <v>44027</v>
          </cell>
          <cell r="R159">
            <v>-41306</v>
          </cell>
        </row>
        <row r="160">
          <cell r="K160">
            <v>44028</v>
          </cell>
          <cell r="R160">
            <v>-61103</v>
          </cell>
        </row>
        <row r="161">
          <cell r="K161">
            <v>44029</v>
          </cell>
          <cell r="R161">
            <v>-55677</v>
          </cell>
        </row>
        <row r="162">
          <cell r="K162">
            <v>44030</v>
          </cell>
          <cell r="R162">
            <v>-47020</v>
          </cell>
        </row>
        <row r="163">
          <cell r="K163">
            <v>44031</v>
          </cell>
          <cell r="R163">
            <v>-52055</v>
          </cell>
        </row>
        <row r="164">
          <cell r="K164">
            <v>44032</v>
          </cell>
          <cell r="R164">
            <v>-62107</v>
          </cell>
        </row>
        <row r="165">
          <cell r="K165">
            <v>44033</v>
          </cell>
          <cell r="R165">
            <v>-13564</v>
          </cell>
        </row>
        <row r="166">
          <cell r="K166">
            <v>44034</v>
          </cell>
          <cell r="R166">
            <v>-41748</v>
          </cell>
        </row>
        <row r="167">
          <cell r="K167">
            <v>44035</v>
          </cell>
          <cell r="R167">
            <v>-46025</v>
          </cell>
        </row>
        <row r="168">
          <cell r="K168">
            <v>44036</v>
          </cell>
          <cell r="R168">
            <v>-44964</v>
          </cell>
        </row>
        <row r="169">
          <cell r="K169">
            <v>44037</v>
          </cell>
          <cell r="R169">
            <v>-47163</v>
          </cell>
        </row>
        <row r="170">
          <cell r="K170">
            <v>44038</v>
          </cell>
          <cell r="R170">
            <v>-36367</v>
          </cell>
        </row>
        <row r="171">
          <cell r="K171">
            <v>44039</v>
          </cell>
          <cell r="R171">
            <v>-28842</v>
          </cell>
        </row>
        <row r="172">
          <cell r="K172">
            <v>44040</v>
          </cell>
          <cell r="R172">
            <v>-36853</v>
          </cell>
        </row>
        <row r="173">
          <cell r="K173">
            <v>44041</v>
          </cell>
          <cell r="R173">
            <v>-37811</v>
          </cell>
        </row>
        <row r="174">
          <cell r="K174">
            <v>44042</v>
          </cell>
          <cell r="R174">
            <v>-42736</v>
          </cell>
        </row>
        <row r="175">
          <cell r="K175">
            <v>44043</v>
          </cell>
          <cell r="R175">
            <v>-44707</v>
          </cell>
        </row>
        <row r="176">
          <cell r="K176">
            <v>44044</v>
          </cell>
          <cell r="R176">
            <v>-32476</v>
          </cell>
        </row>
        <row r="177">
          <cell r="K177">
            <v>44045</v>
          </cell>
          <cell r="R177">
            <v>-38764</v>
          </cell>
        </row>
        <row r="178">
          <cell r="K178">
            <v>44046</v>
          </cell>
          <cell r="R178">
            <v>-744</v>
          </cell>
        </row>
        <row r="179">
          <cell r="K179">
            <v>44047</v>
          </cell>
          <cell r="R179">
            <v>-43241</v>
          </cell>
        </row>
        <row r="180">
          <cell r="K180">
            <v>44048</v>
          </cell>
          <cell r="R180">
            <v>-5594</v>
          </cell>
        </row>
        <row r="181">
          <cell r="K181">
            <v>44049</v>
          </cell>
          <cell r="R181">
            <v>-38576</v>
          </cell>
        </row>
        <row r="182">
          <cell r="K182">
            <v>44050</v>
          </cell>
          <cell r="R182">
            <v>-34057</v>
          </cell>
        </row>
        <row r="183">
          <cell r="K183">
            <v>44051</v>
          </cell>
          <cell r="R183">
            <v>-34886</v>
          </cell>
        </row>
        <row r="184">
          <cell r="K184">
            <v>44052</v>
          </cell>
          <cell r="R184">
            <v>-32023</v>
          </cell>
        </row>
        <row r="185">
          <cell r="K185">
            <v>44053</v>
          </cell>
          <cell r="R185">
            <v>-33715</v>
          </cell>
        </row>
        <row r="186">
          <cell r="K186">
            <v>44054</v>
          </cell>
          <cell r="R186">
            <v>-3798</v>
          </cell>
        </row>
        <row r="187">
          <cell r="K187">
            <v>44055</v>
          </cell>
          <cell r="R187">
            <v>-17240</v>
          </cell>
        </row>
        <row r="188">
          <cell r="K188">
            <v>44056</v>
          </cell>
          <cell r="R188">
            <v>-30428</v>
          </cell>
        </row>
        <row r="189">
          <cell r="K189">
            <v>44057</v>
          </cell>
          <cell r="R189">
            <v>-43658</v>
          </cell>
        </row>
        <row r="190">
          <cell r="K190">
            <v>44058</v>
          </cell>
          <cell r="R190">
            <v>-24750</v>
          </cell>
        </row>
        <row r="191">
          <cell r="K191">
            <v>44059</v>
          </cell>
          <cell r="R191">
            <v>-24672</v>
          </cell>
        </row>
        <row r="192">
          <cell r="K192">
            <v>44060</v>
          </cell>
          <cell r="R192">
            <v>-4139</v>
          </cell>
        </row>
        <row r="193">
          <cell r="K193">
            <v>44061</v>
          </cell>
          <cell r="R193">
            <v>-12454</v>
          </cell>
        </row>
        <row r="194">
          <cell r="K194">
            <v>44062</v>
          </cell>
          <cell r="R194">
            <v>-20430</v>
          </cell>
        </row>
        <row r="195">
          <cell r="K195">
            <v>44063</v>
          </cell>
          <cell r="R195">
            <v>-22055</v>
          </cell>
        </row>
        <row r="196">
          <cell r="K196">
            <v>44064</v>
          </cell>
          <cell r="R196">
            <v>-30822</v>
          </cell>
        </row>
        <row r="197">
          <cell r="K197">
            <v>44065</v>
          </cell>
          <cell r="R197">
            <v>-22636</v>
          </cell>
        </row>
        <row r="198">
          <cell r="K198">
            <v>44066</v>
          </cell>
          <cell r="R198">
            <v>-21970</v>
          </cell>
        </row>
        <row r="199">
          <cell r="K199">
            <v>44067</v>
          </cell>
          <cell r="R199">
            <v>-13469</v>
          </cell>
        </row>
        <row r="200">
          <cell r="K200">
            <v>44068</v>
          </cell>
          <cell r="R200">
            <v>-7429</v>
          </cell>
        </row>
        <row r="201">
          <cell r="K201">
            <v>44069</v>
          </cell>
          <cell r="R201">
            <v>-14406</v>
          </cell>
        </row>
        <row r="202">
          <cell r="K202">
            <v>44070</v>
          </cell>
          <cell r="R202">
            <v>-28532</v>
          </cell>
        </row>
        <row r="203">
          <cell r="K203">
            <v>44071</v>
          </cell>
          <cell r="R203">
            <v>-29791</v>
          </cell>
        </row>
        <row r="204">
          <cell r="K204">
            <v>44072</v>
          </cell>
          <cell r="R204">
            <v>-20507</v>
          </cell>
        </row>
        <row r="205">
          <cell r="K205">
            <v>44073</v>
          </cell>
          <cell r="R205">
            <v>-21079</v>
          </cell>
        </row>
        <row r="206">
          <cell r="K206">
            <v>44074</v>
          </cell>
          <cell r="R206">
            <v>-4476</v>
          </cell>
        </row>
        <row r="207">
          <cell r="K207">
            <v>44075</v>
          </cell>
          <cell r="R207">
            <v>-24008</v>
          </cell>
        </row>
        <row r="208">
          <cell r="K208">
            <v>44076</v>
          </cell>
          <cell r="R208">
            <v>-11924</v>
          </cell>
        </row>
        <row r="209">
          <cell r="K209">
            <v>44077</v>
          </cell>
          <cell r="R209">
            <v>-9051</v>
          </cell>
        </row>
        <row r="210">
          <cell r="K210">
            <v>44078</v>
          </cell>
          <cell r="R210">
            <v>-33885</v>
          </cell>
        </row>
        <row r="211">
          <cell r="K211">
            <v>44079</v>
          </cell>
          <cell r="R211">
            <v>-24425</v>
          </cell>
        </row>
        <row r="212">
          <cell r="K212">
            <v>44080</v>
          </cell>
          <cell r="R212">
            <v>-17410</v>
          </cell>
        </row>
        <row r="213">
          <cell r="K213">
            <v>44081</v>
          </cell>
          <cell r="R213">
            <v>-6057</v>
          </cell>
        </row>
        <row r="214">
          <cell r="K214">
            <v>44082</v>
          </cell>
          <cell r="R214">
            <v>-1666</v>
          </cell>
        </row>
        <row r="215">
          <cell r="K215">
            <v>44083</v>
          </cell>
          <cell r="R215">
            <v>-5681</v>
          </cell>
        </row>
        <row r="216">
          <cell r="K216">
            <v>44084</v>
          </cell>
          <cell r="R216">
            <v>-20024</v>
          </cell>
        </row>
        <row r="217">
          <cell r="K217">
            <v>44085</v>
          </cell>
          <cell r="R217">
            <v>-33402</v>
          </cell>
        </row>
        <row r="218">
          <cell r="K218">
            <v>44086</v>
          </cell>
          <cell r="R218">
            <v>-24321</v>
          </cell>
        </row>
        <row r="219">
          <cell r="K219">
            <v>44087</v>
          </cell>
          <cell r="R219">
            <v>-17624</v>
          </cell>
        </row>
        <row r="220">
          <cell r="K220">
            <v>44088</v>
          </cell>
          <cell r="R220">
            <v>-11259</v>
          </cell>
        </row>
        <row r="221">
          <cell r="K221">
            <v>44089</v>
          </cell>
          <cell r="R221">
            <v>-18935</v>
          </cell>
        </row>
        <row r="222">
          <cell r="K222">
            <v>44090</v>
          </cell>
          <cell r="R222">
            <v>-8584</v>
          </cell>
        </row>
        <row r="223">
          <cell r="K223">
            <v>44091</v>
          </cell>
          <cell r="R223">
            <v>-30369</v>
          </cell>
        </row>
        <row r="224">
          <cell r="K224">
            <v>44092</v>
          </cell>
          <cell r="R224">
            <v>-33151</v>
          </cell>
        </row>
        <row r="225">
          <cell r="K225">
            <v>44093</v>
          </cell>
          <cell r="R225">
            <v>-21221</v>
          </cell>
        </row>
        <row r="226">
          <cell r="K226">
            <v>44094</v>
          </cell>
          <cell r="R226">
            <v>-25222</v>
          </cell>
        </row>
        <row r="227">
          <cell r="K227">
            <v>44095</v>
          </cell>
          <cell r="R227">
            <v>-26600</v>
          </cell>
        </row>
        <row r="228">
          <cell r="K228">
            <v>44096</v>
          </cell>
          <cell r="R228">
            <v>-8856</v>
          </cell>
        </row>
        <row r="229">
          <cell r="K229">
            <v>44097</v>
          </cell>
          <cell r="R229">
            <v>-15772</v>
          </cell>
        </row>
        <row r="230">
          <cell r="K230">
            <v>44098</v>
          </cell>
          <cell r="R230">
            <v>-7176</v>
          </cell>
        </row>
        <row r="231">
          <cell r="K231">
            <v>44099</v>
          </cell>
          <cell r="R231">
            <v>-31143</v>
          </cell>
        </row>
        <row r="232">
          <cell r="K232">
            <v>44100</v>
          </cell>
          <cell r="R232">
            <v>-21549</v>
          </cell>
        </row>
        <row r="233">
          <cell r="K233">
            <v>44101</v>
          </cell>
          <cell r="R233">
            <v>-21707</v>
          </cell>
        </row>
        <row r="234">
          <cell r="K234">
            <v>44102</v>
          </cell>
          <cell r="R234">
            <v>-4966</v>
          </cell>
        </row>
        <row r="235">
          <cell r="K235">
            <v>44103</v>
          </cell>
          <cell r="R235">
            <v>-28272</v>
          </cell>
        </row>
        <row r="236">
          <cell r="K236">
            <v>44104</v>
          </cell>
          <cell r="R236">
            <v>-8429</v>
          </cell>
        </row>
        <row r="237">
          <cell r="K237">
            <v>44105</v>
          </cell>
          <cell r="R237">
            <v>-25688</v>
          </cell>
        </row>
        <row r="238">
          <cell r="K238">
            <v>44106</v>
          </cell>
          <cell r="R238">
            <v>-42231</v>
          </cell>
        </row>
        <row r="239">
          <cell r="K239">
            <v>44107</v>
          </cell>
          <cell r="R239">
            <v>-24624</v>
          </cell>
        </row>
        <row r="240">
          <cell r="K240">
            <v>44108</v>
          </cell>
          <cell r="R240">
            <v>-21361</v>
          </cell>
        </row>
        <row r="241">
          <cell r="K241">
            <v>44109</v>
          </cell>
          <cell r="R241">
            <v>-15933</v>
          </cell>
        </row>
        <row r="242">
          <cell r="K242">
            <v>44110</v>
          </cell>
          <cell r="R242">
            <v>-28041</v>
          </cell>
        </row>
        <row r="243">
          <cell r="K243">
            <v>44111</v>
          </cell>
          <cell r="R243">
            <v>-3551</v>
          </cell>
        </row>
        <row r="244">
          <cell r="K244">
            <v>44112</v>
          </cell>
          <cell r="R244">
            <v>-37242</v>
          </cell>
        </row>
        <row r="245">
          <cell r="K245">
            <v>44113</v>
          </cell>
          <cell r="R245">
            <v>-38547</v>
          </cell>
        </row>
        <row r="246">
          <cell r="K246">
            <v>44114</v>
          </cell>
          <cell r="R246">
            <v>-31059</v>
          </cell>
        </row>
        <row r="247">
          <cell r="K247">
            <v>44115</v>
          </cell>
          <cell r="R247">
            <v>-33887</v>
          </cell>
        </row>
        <row r="248">
          <cell r="K248">
            <v>44116</v>
          </cell>
          <cell r="R248">
            <v>-10123</v>
          </cell>
        </row>
        <row r="249">
          <cell r="K249">
            <v>44117</v>
          </cell>
          <cell r="R249">
            <v>-34366</v>
          </cell>
        </row>
        <row r="250">
          <cell r="K250">
            <v>44118</v>
          </cell>
          <cell r="R250">
            <v>-28577</v>
          </cell>
        </row>
        <row r="251">
          <cell r="K251">
            <v>44119</v>
          </cell>
          <cell r="R251">
            <v>-43277</v>
          </cell>
        </row>
        <row r="252">
          <cell r="K252">
            <v>44120</v>
          </cell>
          <cell r="R252">
            <v>-49005</v>
          </cell>
        </row>
        <row r="253">
          <cell r="K253">
            <v>44121</v>
          </cell>
          <cell r="R253">
            <v>-33725</v>
          </cell>
        </row>
        <row r="254">
          <cell r="K254">
            <v>44122</v>
          </cell>
          <cell r="R254">
            <v>-35802</v>
          </cell>
        </row>
        <row r="255">
          <cell r="K255">
            <v>44123</v>
          </cell>
          <cell r="R255">
            <v>-29252</v>
          </cell>
        </row>
        <row r="256">
          <cell r="K256">
            <v>44124</v>
          </cell>
          <cell r="R256">
            <v>-39411</v>
          </cell>
        </row>
        <row r="257">
          <cell r="K257">
            <v>44125</v>
          </cell>
          <cell r="R257">
            <v>-35095</v>
          </cell>
        </row>
        <row r="258">
          <cell r="K258">
            <v>44126</v>
          </cell>
          <cell r="R258">
            <v>-46608</v>
          </cell>
        </row>
        <row r="259">
          <cell r="K259">
            <v>44127</v>
          </cell>
          <cell r="R259">
            <v>-59562</v>
          </cell>
        </row>
        <row r="260">
          <cell r="K260">
            <v>44128</v>
          </cell>
          <cell r="R260">
            <v>-51538</v>
          </cell>
        </row>
        <row r="261">
          <cell r="K261">
            <v>44129</v>
          </cell>
          <cell r="R261">
            <v>-45982</v>
          </cell>
        </row>
        <row r="262">
          <cell r="K262">
            <v>44130</v>
          </cell>
          <cell r="R262">
            <v>-29733</v>
          </cell>
        </row>
        <row r="263">
          <cell r="K263">
            <v>44131</v>
          </cell>
          <cell r="R263">
            <v>-49627</v>
          </cell>
        </row>
        <row r="264">
          <cell r="K264">
            <v>44132</v>
          </cell>
          <cell r="R264">
            <v>-48952</v>
          </cell>
        </row>
        <row r="265">
          <cell r="K265">
            <v>44133</v>
          </cell>
          <cell r="R265">
            <v>-54823</v>
          </cell>
        </row>
        <row r="266">
          <cell r="K266">
            <v>44134</v>
          </cell>
          <cell r="R266">
            <v>-75148</v>
          </cell>
        </row>
        <row r="267">
          <cell r="K267">
            <v>44135</v>
          </cell>
          <cell r="R267">
            <v>-55728</v>
          </cell>
        </row>
        <row r="268">
          <cell r="K268">
            <v>44136</v>
          </cell>
          <cell r="R268">
            <v>-86799</v>
          </cell>
        </row>
        <row r="269">
          <cell r="K269">
            <v>44137</v>
          </cell>
          <cell r="R269">
            <v>-40809</v>
          </cell>
        </row>
        <row r="270">
          <cell r="K270">
            <v>44138</v>
          </cell>
          <cell r="R270">
            <v>-97049</v>
          </cell>
        </row>
        <row r="271">
          <cell r="K271">
            <v>44139</v>
          </cell>
          <cell r="R271">
            <v>-66144</v>
          </cell>
        </row>
        <row r="272">
          <cell r="K272">
            <v>44140</v>
          </cell>
          <cell r="R272">
            <v>-91143</v>
          </cell>
        </row>
        <row r="273">
          <cell r="K273">
            <v>44141</v>
          </cell>
          <cell r="R273">
            <v>-98993</v>
          </cell>
        </row>
        <row r="274">
          <cell r="K274">
            <v>44142</v>
          </cell>
          <cell r="R274">
            <v>-86836</v>
          </cell>
        </row>
        <row r="275">
          <cell r="K275">
            <v>44143</v>
          </cell>
          <cell r="R275">
            <v>-85144</v>
          </cell>
        </row>
        <row r="276">
          <cell r="K276">
            <v>44144</v>
          </cell>
          <cell r="R276">
            <v>-73080</v>
          </cell>
        </row>
        <row r="277">
          <cell r="K277">
            <v>44145</v>
          </cell>
          <cell r="R277">
            <v>-107476</v>
          </cell>
        </row>
        <row r="278">
          <cell r="K278">
            <v>44146</v>
          </cell>
          <cell r="R278">
            <v>-111448</v>
          </cell>
        </row>
        <row r="279">
          <cell r="K279">
            <v>44147</v>
          </cell>
          <cell r="R279">
            <v>-110669</v>
          </cell>
        </row>
        <row r="280">
          <cell r="K280">
            <v>44148</v>
          </cell>
          <cell r="R280">
            <v>-136508</v>
          </cell>
        </row>
        <row r="281">
          <cell r="K281">
            <v>44149</v>
          </cell>
          <cell r="R281">
            <v>-114628</v>
          </cell>
        </row>
        <row r="282">
          <cell r="K282">
            <v>44150</v>
          </cell>
          <cell r="R282">
            <v>-109916</v>
          </cell>
        </row>
        <row r="283">
          <cell r="K283">
            <v>44151</v>
          </cell>
          <cell r="R283">
            <v>-92697</v>
          </cell>
        </row>
        <row r="284">
          <cell r="K284">
            <v>44152</v>
          </cell>
          <cell r="R284">
            <v>-115129</v>
          </cell>
        </row>
        <row r="285">
          <cell r="K285">
            <v>44153</v>
          </cell>
          <cell r="R285">
            <v>-116102</v>
          </cell>
        </row>
        <row r="286">
          <cell r="K286">
            <v>44154</v>
          </cell>
          <cell r="R286">
            <v>-131590</v>
          </cell>
        </row>
        <row r="287">
          <cell r="K287">
            <v>44155</v>
          </cell>
          <cell r="R287">
            <v>-151112</v>
          </cell>
        </row>
        <row r="288">
          <cell r="K288">
            <v>44156</v>
          </cell>
          <cell r="R288">
            <v>-107666</v>
          </cell>
        </row>
        <row r="289">
          <cell r="K289">
            <v>44157</v>
          </cell>
          <cell r="R289">
            <v>-150134</v>
          </cell>
        </row>
        <row r="290">
          <cell r="K290">
            <v>44158</v>
          </cell>
          <cell r="R290">
            <v>-67002</v>
          </cell>
        </row>
        <row r="291">
          <cell r="K291">
            <v>44159</v>
          </cell>
          <cell r="R291">
            <v>-112480</v>
          </cell>
        </row>
        <row r="292">
          <cell r="K292">
            <v>44160</v>
          </cell>
          <cell r="R292">
            <v>-44111</v>
          </cell>
        </row>
        <row r="293">
          <cell r="K293">
            <v>44161</v>
          </cell>
          <cell r="R293">
            <v>-77279</v>
          </cell>
        </row>
        <row r="294">
          <cell r="K294">
            <v>44162</v>
          </cell>
          <cell r="R294">
            <v>-131690</v>
          </cell>
        </row>
        <row r="295">
          <cell r="K295">
            <v>44163</v>
          </cell>
          <cell r="R295">
            <v>-80044</v>
          </cell>
        </row>
        <row r="296">
          <cell r="K296">
            <v>44164</v>
          </cell>
          <cell r="R296">
            <v>-98361</v>
          </cell>
        </row>
        <row r="297">
          <cell r="K297">
            <v>44165</v>
          </cell>
          <cell r="R297">
            <v>-79032</v>
          </cell>
        </row>
        <row r="298">
          <cell r="K298">
            <v>44166</v>
          </cell>
          <cell r="R298">
            <v>-108077</v>
          </cell>
        </row>
        <row r="299">
          <cell r="K299">
            <v>44167</v>
          </cell>
          <cell r="R299">
            <v>-107347</v>
          </cell>
        </row>
        <row r="300">
          <cell r="K300">
            <v>44168</v>
          </cell>
          <cell r="R300">
            <v>-141531</v>
          </cell>
        </row>
        <row r="301">
          <cell r="K301">
            <v>44169</v>
          </cell>
          <cell r="R301">
            <v>-166273</v>
          </cell>
        </row>
        <row r="302">
          <cell r="K302">
            <v>44170</v>
          </cell>
          <cell r="R302">
            <v>-110174</v>
          </cell>
        </row>
        <row r="303">
          <cell r="K303">
            <v>44171</v>
          </cell>
          <cell r="R303">
            <v>-132835</v>
          </cell>
        </row>
        <row r="304">
          <cell r="K304">
            <v>44172</v>
          </cell>
          <cell r="R304">
            <v>-104296</v>
          </cell>
        </row>
        <row r="305">
          <cell r="K305">
            <v>44173</v>
          </cell>
          <cell r="R305">
            <v>-152094</v>
          </cell>
        </row>
        <row r="306">
          <cell r="K306">
            <v>44174</v>
          </cell>
          <cell r="R306">
            <v>-119667</v>
          </cell>
        </row>
        <row r="307">
          <cell r="K307">
            <v>44175</v>
          </cell>
          <cell r="R307">
            <v>-136277</v>
          </cell>
        </row>
        <row r="308">
          <cell r="K308">
            <v>44176</v>
          </cell>
          <cell r="R308">
            <v>-89822</v>
          </cell>
        </row>
        <row r="309">
          <cell r="K309">
            <v>44177</v>
          </cell>
          <cell r="R309">
            <v>-106506</v>
          </cell>
        </row>
        <row r="310">
          <cell r="K310">
            <v>44178</v>
          </cell>
          <cell r="R310">
            <v>-136494</v>
          </cell>
        </row>
        <row r="311">
          <cell r="K311">
            <v>44179</v>
          </cell>
          <cell r="R311">
            <v>-92865</v>
          </cell>
        </row>
        <row r="312">
          <cell r="K312">
            <v>44180</v>
          </cell>
          <cell r="R312">
            <v>-117644</v>
          </cell>
        </row>
        <row r="313">
          <cell r="K313">
            <v>44181</v>
          </cell>
          <cell r="R313">
            <v>-139862</v>
          </cell>
        </row>
        <row r="314">
          <cell r="K314">
            <v>44182</v>
          </cell>
          <cell r="R314">
            <v>-155910</v>
          </cell>
        </row>
        <row r="315">
          <cell r="K315">
            <v>44183</v>
          </cell>
          <cell r="R315">
            <v>-177323</v>
          </cell>
        </row>
        <row r="316">
          <cell r="K316">
            <v>44184</v>
          </cell>
          <cell r="R316">
            <v>-65266</v>
          </cell>
        </row>
        <row r="317">
          <cell r="K317">
            <v>44185</v>
          </cell>
          <cell r="R317">
            <v>-135855</v>
          </cell>
        </row>
        <row r="318">
          <cell r="K318">
            <v>44186</v>
          </cell>
          <cell r="R318">
            <v>-90045</v>
          </cell>
        </row>
        <row r="319">
          <cell r="K319">
            <v>44187</v>
          </cell>
          <cell r="R319">
            <v>-114894</v>
          </cell>
        </row>
        <row r="320">
          <cell r="K320">
            <v>44188</v>
          </cell>
          <cell r="R320">
            <v>-121768</v>
          </cell>
        </row>
        <row r="321">
          <cell r="K321">
            <v>44189</v>
          </cell>
          <cell r="R321">
            <v>-91344</v>
          </cell>
        </row>
        <row r="322">
          <cell r="K322">
            <v>44190</v>
          </cell>
          <cell r="R322">
            <v>-73294</v>
          </cell>
        </row>
        <row r="323">
          <cell r="K323">
            <v>44191</v>
          </cell>
          <cell r="R323">
            <v>-115084</v>
          </cell>
        </row>
        <row r="324">
          <cell r="K324">
            <v>44192</v>
          </cell>
          <cell r="R324">
            <v>-99033</v>
          </cell>
        </row>
        <row r="325">
          <cell r="K325">
            <v>44193</v>
          </cell>
          <cell r="R325">
            <v>-101316</v>
          </cell>
        </row>
        <row r="326">
          <cell r="K326">
            <v>44194</v>
          </cell>
          <cell r="R326">
            <v>-101658</v>
          </cell>
        </row>
        <row r="327">
          <cell r="K327">
            <v>44195</v>
          </cell>
          <cell r="R327">
            <v>-128141</v>
          </cell>
        </row>
        <row r="328">
          <cell r="K328">
            <v>44196</v>
          </cell>
          <cell r="R328">
            <v>-123857</v>
          </cell>
        </row>
        <row r="329">
          <cell r="K329">
            <v>44197</v>
          </cell>
          <cell r="R329">
            <v>-265659</v>
          </cell>
        </row>
        <row r="330">
          <cell r="K330">
            <v>44198</v>
          </cell>
          <cell r="R330">
            <v>-300462</v>
          </cell>
        </row>
        <row r="331">
          <cell r="K331">
            <v>44199</v>
          </cell>
          <cell r="R331">
            <v>-208853</v>
          </cell>
        </row>
        <row r="332">
          <cell r="K332">
            <v>44200</v>
          </cell>
          <cell r="R332">
            <v>-184005</v>
          </cell>
        </row>
        <row r="333">
          <cell r="K333">
            <v>44201</v>
          </cell>
          <cell r="R333">
            <v>-235042</v>
          </cell>
        </row>
        <row r="334">
          <cell r="K334">
            <v>44202</v>
          </cell>
          <cell r="R334">
            <v>-255637</v>
          </cell>
        </row>
        <row r="335">
          <cell r="K335">
            <v>44203</v>
          </cell>
          <cell r="R335">
            <v>-278337</v>
          </cell>
        </row>
        <row r="336">
          <cell r="K336">
            <v>44204</v>
          </cell>
          <cell r="R336">
            <v>-295257</v>
          </cell>
        </row>
        <row r="337">
          <cell r="K337">
            <v>44205</v>
          </cell>
          <cell r="R337">
            <v>-260967</v>
          </cell>
        </row>
        <row r="338">
          <cell r="K338">
            <v>44206</v>
          </cell>
          <cell r="R338">
            <v>-213415</v>
          </cell>
        </row>
        <row r="339">
          <cell r="K339">
            <v>44207</v>
          </cell>
          <cell r="R339">
            <v>-214664</v>
          </cell>
        </row>
        <row r="340">
          <cell r="K340">
            <v>44208</v>
          </cell>
          <cell r="R340">
            <v>-226967</v>
          </cell>
        </row>
        <row r="341">
          <cell r="K341">
            <v>44209</v>
          </cell>
          <cell r="R341">
            <v>-230301</v>
          </cell>
        </row>
        <row r="342">
          <cell r="K342">
            <v>44210</v>
          </cell>
          <cell r="R342">
            <v>-235766</v>
          </cell>
        </row>
        <row r="343">
          <cell r="K343">
            <v>44211</v>
          </cell>
          <cell r="R343">
            <v>-242780</v>
          </cell>
        </row>
        <row r="344">
          <cell r="K344">
            <v>44212</v>
          </cell>
          <cell r="R344">
            <v>-201858</v>
          </cell>
        </row>
        <row r="345">
          <cell r="K345">
            <v>44213</v>
          </cell>
          <cell r="R345">
            <v>-177931</v>
          </cell>
        </row>
        <row r="346">
          <cell r="K346">
            <v>44214</v>
          </cell>
          <cell r="R346">
            <v>-143598</v>
          </cell>
        </row>
        <row r="347">
          <cell r="K347">
            <v>44215</v>
          </cell>
          <cell r="R347">
            <v>-176216</v>
          </cell>
        </row>
        <row r="348">
          <cell r="K348">
            <v>44216</v>
          </cell>
          <cell r="R348">
            <v>-183261</v>
          </cell>
        </row>
        <row r="349">
          <cell r="K349">
            <v>44217</v>
          </cell>
          <cell r="R349">
            <v>-193856</v>
          </cell>
        </row>
        <row r="350">
          <cell r="K350">
            <v>44218</v>
          </cell>
          <cell r="R350">
            <v>-190760</v>
          </cell>
        </row>
        <row r="351">
          <cell r="K351">
            <v>44219</v>
          </cell>
          <cell r="R351">
            <v>-170759</v>
          </cell>
        </row>
        <row r="352">
          <cell r="K352">
            <v>44220</v>
          </cell>
          <cell r="R352">
            <v>-131198</v>
          </cell>
        </row>
        <row r="353">
          <cell r="K353">
            <v>44221</v>
          </cell>
          <cell r="R353">
            <v>-151677</v>
          </cell>
        </row>
        <row r="354">
          <cell r="K354">
            <v>44222</v>
          </cell>
          <cell r="R354">
            <v>-147626</v>
          </cell>
        </row>
        <row r="355">
          <cell r="K355">
            <v>44223</v>
          </cell>
          <cell r="R355">
            <v>-153961</v>
          </cell>
        </row>
        <row r="356">
          <cell r="K356">
            <v>44224</v>
          </cell>
          <cell r="R356">
            <v>-168804</v>
          </cell>
        </row>
        <row r="357">
          <cell r="K357">
            <v>44225</v>
          </cell>
          <cell r="R357">
            <v>-166613</v>
          </cell>
        </row>
        <row r="358">
          <cell r="K358">
            <v>44226</v>
          </cell>
          <cell r="R358">
            <v>-142459</v>
          </cell>
        </row>
        <row r="359">
          <cell r="K359">
            <v>44227</v>
          </cell>
          <cell r="R359">
            <v>-112152</v>
          </cell>
        </row>
        <row r="360">
          <cell r="K360">
            <v>44228</v>
          </cell>
          <cell r="R360">
            <v>-134975</v>
          </cell>
        </row>
        <row r="361">
          <cell r="K361">
            <v>44229</v>
          </cell>
          <cell r="R361">
            <v>-115303</v>
          </cell>
        </row>
        <row r="362">
          <cell r="K362">
            <v>44230</v>
          </cell>
          <cell r="R362">
            <v>-121691</v>
          </cell>
        </row>
        <row r="363">
          <cell r="K363">
            <v>44231</v>
          </cell>
          <cell r="R363">
            <v>-124006</v>
          </cell>
        </row>
        <row r="364">
          <cell r="K364">
            <v>44232</v>
          </cell>
          <cell r="R364">
            <v>-134422</v>
          </cell>
        </row>
        <row r="365">
          <cell r="K365">
            <v>44233</v>
          </cell>
          <cell r="R365">
            <v>-104176</v>
          </cell>
        </row>
        <row r="366">
          <cell r="K366">
            <v>44234</v>
          </cell>
          <cell r="R366">
            <v>-89746</v>
          </cell>
        </row>
        <row r="367">
          <cell r="K367">
            <v>44235</v>
          </cell>
          <cell r="R367">
            <v>-90438</v>
          </cell>
        </row>
        <row r="368">
          <cell r="K368">
            <v>44236</v>
          </cell>
          <cell r="R368">
            <v>-95265</v>
          </cell>
        </row>
        <row r="369">
          <cell r="K369">
            <v>44237</v>
          </cell>
          <cell r="R369">
            <v>-95250</v>
          </cell>
        </row>
        <row r="370">
          <cell r="K370">
            <v>44238</v>
          </cell>
          <cell r="R370">
            <v>-105764</v>
          </cell>
        </row>
        <row r="371">
          <cell r="K371">
            <v>44239</v>
          </cell>
          <cell r="R371">
            <v>-99670</v>
          </cell>
        </row>
        <row r="372">
          <cell r="K372">
            <v>44240</v>
          </cell>
          <cell r="R372">
            <v>-87219</v>
          </cell>
        </row>
        <row r="373">
          <cell r="K373">
            <v>44241</v>
          </cell>
          <cell r="R373">
            <v>-65135</v>
          </cell>
        </row>
        <row r="374">
          <cell r="K374">
            <v>44242</v>
          </cell>
          <cell r="R374">
            <v>-54279</v>
          </cell>
        </row>
        <row r="375">
          <cell r="K375">
            <v>44243</v>
          </cell>
          <cell r="R375">
            <v>-62498</v>
          </cell>
        </row>
        <row r="376">
          <cell r="K376">
            <v>44244</v>
          </cell>
          <cell r="R376">
            <v>-70139</v>
          </cell>
        </row>
        <row r="377">
          <cell r="K377">
            <v>44245</v>
          </cell>
          <cell r="R377">
            <v>-69911</v>
          </cell>
        </row>
        <row r="378">
          <cell r="K378">
            <v>44246</v>
          </cell>
          <cell r="R378">
            <v>-79282</v>
          </cell>
        </row>
        <row r="379">
          <cell r="K379">
            <v>44247</v>
          </cell>
          <cell r="R379">
            <v>-71696</v>
          </cell>
        </row>
        <row r="380">
          <cell r="K380">
            <v>44248</v>
          </cell>
          <cell r="R380">
            <v>-57152</v>
          </cell>
        </row>
        <row r="381">
          <cell r="K381">
            <v>44249</v>
          </cell>
          <cell r="R381">
            <v>-56159</v>
          </cell>
        </row>
        <row r="382">
          <cell r="K382">
            <v>44250</v>
          </cell>
          <cell r="R382">
            <v>-72270</v>
          </cell>
        </row>
        <row r="383">
          <cell r="K383">
            <v>44251</v>
          </cell>
          <cell r="R383">
            <v>-74749</v>
          </cell>
        </row>
        <row r="384">
          <cell r="K384">
            <v>44252</v>
          </cell>
          <cell r="R384">
            <v>-77504</v>
          </cell>
        </row>
        <row r="385">
          <cell r="K385">
            <v>44253</v>
          </cell>
          <cell r="R385">
            <v>-77349</v>
          </cell>
        </row>
        <row r="386">
          <cell r="K386">
            <v>44254</v>
          </cell>
          <cell r="R386">
            <v>-64626</v>
          </cell>
        </row>
        <row r="387">
          <cell r="K387">
            <v>44255</v>
          </cell>
          <cell r="R387">
            <v>-51422</v>
          </cell>
        </row>
        <row r="388">
          <cell r="K388">
            <v>44256</v>
          </cell>
          <cell r="R388">
            <v>-58098</v>
          </cell>
        </row>
        <row r="389">
          <cell r="K389">
            <v>44257</v>
          </cell>
          <cell r="R389">
            <v>-57098</v>
          </cell>
        </row>
        <row r="390">
          <cell r="K390">
            <v>44258</v>
          </cell>
          <cell r="R390">
            <v>-67191</v>
          </cell>
        </row>
        <row r="391">
          <cell r="K391">
            <v>44259</v>
          </cell>
          <cell r="R391">
            <v>-68060</v>
          </cell>
        </row>
        <row r="392">
          <cell r="K392">
            <v>44260</v>
          </cell>
          <cell r="R392">
            <v>-66419</v>
          </cell>
        </row>
        <row r="393">
          <cell r="K393">
            <v>44261</v>
          </cell>
        </row>
        <row r="394">
          <cell r="K394">
            <v>44262</v>
          </cell>
        </row>
        <row r="395">
          <cell r="K395">
            <v>44263</v>
          </cell>
        </row>
        <row r="396">
          <cell r="K396">
            <v>44264</v>
          </cell>
        </row>
        <row r="397">
          <cell r="K397">
            <v>44265</v>
          </cell>
        </row>
        <row r="398">
          <cell r="K398">
            <v>44266</v>
          </cell>
        </row>
        <row r="399">
          <cell r="K399">
            <v>44267</v>
          </cell>
        </row>
        <row r="400">
          <cell r="K400">
            <v>44268</v>
          </cell>
        </row>
        <row r="401">
          <cell r="K401">
            <v>44269</v>
          </cell>
        </row>
        <row r="402">
          <cell r="K402">
            <v>44270</v>
          </cell>
        </row>
        <row r="403">
          <cell r="K403">
            <v>44271</v>
          </cell>
        </row>
        <row r="404">
          <cell r="K404">
            <v>44272</v>
          </cell>
        </row>
        <row r="405">
          <cell r="K405">
            <v>44273</v>
          </cell>
        </row>
        <row r="406">
          <cell r="K406">
            <v>44274</v>
          </cell>
        </row>
        <row r="407">
          <cell r="K407">
            <v>44275</v>
          </cell>
        </row>
        <row r="408">
          <cell r="K408">
            <v>44276</v>
          </cell>
        </row>
        <row r="409">
          <cell r="K409">
            <v>44277</v>
          </cell>
        </row>
        <row r="410">
          <cell r="K410">
            <v>44278</v>
          </cell>
        </row>
        <row r="411">
          <cell r="K411">
            <v>44279</v>
          </cell>
        </row>
        <row r="412">
          <cell r="K412">
            <v>44280</v>
          </cell>
        </row>
        <row r="413">
          <cell r="K413">
            <v>44281</v>
          </cell>
        </row>
        <row r="414">
          <cell r="K414">
            <v>44282</v>
          </cell>
        </row>
        <row r="415">
          <cell r="K415">
            <v>44283</v>
          </cell>
        </row>
        <row r="416">
          <cell r="K416">
            <v>44284</v>
          </cell>
        </row>
        <row r="417">
          <cell r="K417">
            <v>44285</v>
          </cell>
        </row>
        <row r="418">
          <cell r="K418">
            <v>44286</v>
          </cell>
        </row>
        <row r="419">
          <cell r="K419">
            <v>44287</v>
          </cell>
        </row>
        <row r="420">
          <cell r="K420">
            <v>44288</v>
          </cell>
        </row>
        <row r="421">
          <cell r="K421">
            <v>44289</v>
          </cell>
        </row>
        <row r="422">
          <cell r="K422">
            <v>44290</v>
          </cell>
        </row>
        <row r="423">
          <cell r="K423">
            <v>44291</v>
          </cell>
        </row>
        <row r="424">
          <cell r="K424">
            <v>44292</v>
          </cell>
        </row>
        <row r="425">
          <cell r="K425">
            <v>44293</v>
          </cell>
        </row>
        <row r="426">
          <cell r="K426">
            <v>44294</v>
          </cell>
        </row>
        <row r="427">
          <cell r="K427">
            <v>44295</v>
          </cell>
        </row>
        <row r="428">
          <cell r="K428">
            <v>44296</v>
          </cell>
        </row>
        <row r="429">
          <cell r="K429">
            <v>44297</v>
          </cell>
        </row>
        <row r="430">
          <cell r="K430">
            <v>44298</v>
          </cell>
        </row>
        <row r="431">
          <cell r="K431">
            <v>44299</v>
          </cell>
        </row>
        <row r="432">
          <cell r="K432">
            <v>44300</v>
          </cell>
        </row>
        <row r="433">
          <cell r="K433">
            <v>44301</v>
          </cell>
        </row>
        <row r="434">
          <cell r="K434">
            <v>44302</v>
          </cell>
        </row>
        <row r="435">
          <cell r="K435">
            <v>44303</v>
          </cell>
        </row>
        <row r="436">
          <cell r="K436">
            <v>44304</v>
          </cell>
        </row>
        <row r="437">
          <cell r="K437">
            <v>44305</v>
          </cell>
        </row>
        <row r="438">
          <cell r="K438">
            <v>44306</v>
          </cell>
        </row>
        <row r="439">
          <cell r="K439">
            <v>44307</v>
          </cell>
        </row>
        <row r="440">
          <cell r="K440">
            <v>44308</v>
          </cell>
        </row>
        <row r="441">
          <cell r="K441">
            <v>44309</v>
          </cell>
        </row>
        <row r="442">
          <cell r="K442">
            <v>44310</v>
          </cell>
        </row>
        <row r="443">
          <cell r="K443">
            <v>44311</v>
          </cell>
        </row>
        <row r="444">
          <cell r="K444">
            <v>44312</v>
          </cell>
        </row>
        <row r="445">
          <cell r="K445">
            <v>44313</v>
          </cell>
        </row>
        <row r="446">
          <cell r="K446">
            <v>44314</v>
          </cell>
        </row>
        <row r="447">
          <cell r="K447">
            <v>44315</v>
          </cell>
        </row>
        <row r="448">
          <cell r="K448">
            <v>44316</v>
          </cell>
        </row>
        <row r="449">
          <cell r="K449">
            <v>44317</v>
          </cell>
        </row>
        <row r="450">
          <cell r="K450">
            <v>44318</v>
          </cell>
        </row>
        <row r="451">
          <cell r="K451">
            <v>44319</v>
          </cell>
        </row>
        <row r="452">
          <cell r="K452">
            <v>44320</v>
          </cell>
        </row>
        <row r="453">
          <cell r="K453">
            <v>44321</v>
          </cell>
        </row>
        <row r="454">
          <cell r="K454">
            <v>44322</v>
          </cell>
        </row>
        <row r="455">
          <cell r="K455">
            <v>44323</v>
          </cell>
        </row>
        <row r="456">
          <cell r="K456">
            <v>44324</v>
          </cell>
        </row>
        <row r="457">
          <cell r="K457">
            <v>44325</v>
          </cell>
        </row>
        <row r="458">
          <cell r="K458">
            <v>44326</v>
          </cell>
        </row>
        <row r="459">
          <cell r="K459">
            <v>44327</v>
          </cell>
        </row>
        <row r="460">
          <cell r="K460">
            <v>44328</v>
          </cell>
        </row>
        <row r="461">
          <cell r="K461">
            <v>44329</v>
          </cell>
        </row>
        <row r="462">
          <cell r="K462">
            <v>44330</v>
          </cell>
        </row>
        <row r="463">
          <cell r="K463">
            <v>44331</v>
          </cell>
        </row>
        <row r="464">
          <cell r="K464">
            <v>44332</v>
          </cell>
        </row>
        <row r="465">
          <cell r="K465">
            <v>44333</v>
          </cell>
        </row>
        <row r="466">
          <cell r="K466">
            <v>44334</v>
          </cell>
        </row>
        <row r="467">
          <cell r="K467">
            <v>44335</v>
          </cell>
        </row>
        <row r="468">
          <cell r="K468">
            <v>44336</v>
          </cell>
        </row>
        <row r="469">
          <cell r="K469">
            <v>44337</v>
          </cell>
        </row>
        <row r="470">
          <cell r="K470">
            <v>44338</v>
          </cell>
        </row>
        <row r="471">
          <cell r="K471">
            <v>44339</v>
          </cell>
        </row>
        <row r="472">
          <cell r="K472">
            <v>44340</v>
          </cell>
        </row>
        <row r="473">
          <cell r="K473">
            <v>44341</v>
          </cell>
        </row>
        <row r="474">
          <cell r="K474">
            <v>44342</v>
          </cell>
        </row>
        <row r="475">
          <cell r="K475">
            <v>44343</v>
          </cell>
        </row>
        <row r="476">
          <cell r="K476">
            <v>44344</v>
          </cell>
        </row>
        <row r="477">
          <cell r="K477">
            <v>44345</v>
          </cell>
        </row>
        <row r="478">
          <cell r="K478">
            <v>44346</v>
          </cell>
        </row>
        <row r="479">
          <cell r="K479">
            <v>44347</v>
          </cell>
        </row>
        <row r="480">
          <cell r="K480">
            <v>44348</v>
          </cell>
        </row>
        <row r="481">
          <cell r="K481">
            <v>44349</v>
          </cell>
        </row>
        <row r="482">
          <cell r="K482">
            <v>44350</v>
          </cell>
        </row>
        <row r="483">
          <cell r="K483">
            <v>44351</v>
          </cell>
        </row>
        <row r="484">
          <cell r="K484">
            <v>44352</v>
          </cell>
        </row>
        <row r="485">
          <cell r="K485">
            <v>44353</v>
          </cell>
        </row>
        <row r="486">
          <cell r="K486">
            <v>44354</v>
          </cell>
        </row>
        <row r="487">
          <cell r="K487">
            <v>44355</v>
          </cell>
        </row>
        <row r="488">
          <cell r="K488">
            <v>44356</v>
          </cell>
        </row>
        <row r="489">
          <cell r="K489">
            <v>44357</v>
          </cell>
        </row>
        <row r="490">
          <cell r="K490">
            <v>44358</v>
          </cell>
        </row>
        <row r="491">
          <cell r="K491">
            <v>44359</v>
          </cell>
        </row>
        <row r="492">
          <cell r="K492">
            <v>44360</v>
          </cell>
        </row>
        <row r="493">
          <cell r="K493">
            <v>44361</v>
          </cell>
        </row>
        <row r="494">
          <cell r="K494">
            <v>44362</v>
          </cell>
        </row>
        <row r="495">
          <cell r="K495">
            <v>44363</v>
          </cell>
        </row>
        <row r="496">
          <cell r="K496">
            <v>44364</v>
          </cell>
        </row>
        <row r="497">
          <cell r="K497">
            <v>44365</v>
          </cell>
        </row>
        <row r="498">
          <cell r="K498">
            <v>44366</v>
          </cell>
        </row>
        <row r="499">
          <cell r="K499">
            <v>44367</v>
          </cell>
        </row>
        <row r="500">
          <cell r="K500">
            <v>44368</v>
          </cell>
        </row>
        <row r="501">
          <cell r="K501">
            <v>44369</v>
          </cell>
        </row>
        <row r="502">
          <cell r="K502">
            <v>44370</v>
          </cell>
        </row>
        <row r="503">
          <cell r="K503">
            <v>44371</v>
          </cell>
        </row>
        <row r="504">
          <cell r="K504">
            <v>44372</v>
          </cell>
        </row>
        <row r="505">
          <cell r="K505">
            <v>44373</v>
          </cell>
        </row>
        <row r="506">
          <cell r="K506">
            <v>44374</v>
          </cell>
        </row>
      </sheetData>
      <sheetData sheetId="6">
        <row r="25">
          <cell r="C25">
            <v>464</v>
          </cell>
        </row>
        <row r="37">
          <cell r="B37">
            <v>1</v>
          </cell>
          <cell r="C37">
            <v>0</v>
          </cell>
          <cell r="D37">
            <v>0</v>
          </cell>
          <cell r="E37">
            <v>1</v>
          </cell>
          <cell r="F37">
            <v>0</v>
          </cell>
          <cell r="G37">
            <v>41</v>
          </cell>
        </row>
        <row r="38">
          <cell r="C38">
            <v>0</v>
          </cell>
          <cell r="D38">
            <v>0</v>
          </cell>
          <cell r="E38">
            <v>1</v>
          </cell>
          <cell r="F38">
            <v>0</v>
          </cell>
          <cell r="G38">
            <v>41</v>
          </cell>
        </row>
        <row r="39"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41</v>
          </cell>
        </row>
        <row r="40">
          <cell r="C40">
            <v>0</v>
          </cell>
          <cell r="D40">
            <v>0</v>
          </cell>
          <cell r="E40">
            <v>2</v>
          </cell>
          <cell r="F40">
            <v>0</v>
          </cell>
          <cell r="G40">
            <v>41</v>
          </cell>
        </row>
        <row r="41">
          <cell r="C41">
            <v>0</v>
          </cell>
          <cell r="D41">
            <v>0</v>
          </cell>
          <cell r="E41">
            <v>2</v>
          </cell>
          <cell r="F41">
            <v>0</v>
          </cell>
          <cell r="G41">
            <v>41</v>
          </cell>
        </row>
        <row r="42">
          <cell r="C42">
            <v>0</v>
          </cell>
          <cell r="D42">
            <v>0</v>
          </cell>
          <cell r="E42">
            <v>5</v>
          </cell>
          <cell r="F42">
            <v>0</v>
          </cell>
          <cell r="G42">
            <v>41</v>
          </cell>
        </row>
        <row r="43">
          <cell r="C43">
            <v>0</v>
          </cell>
          <cell r="D43">
            <v>0</v>
          </cell>
          <cell r="E43">
            <v>5</v>
          </cell>
          <cell r="F43">
            <v>0</v>
          </cell>
          <cell r="G43">
            <v>45</v>
          </cell>
        </row>
        <row r="44">
          <cell r="C44">
            <v>0</v>
          </cell>
          <cell r="D44">
            <v>0</v>
          </cell>
          <cell r="E44">
            <v>5</v>
          </cell>
          <cell r="F44">
            <v>0</v>
          </cell>
          <cell r="G44">
            <v>62</v>
          </cell>
        </row>
        <row r="45">
          <cell r="C45">
            <v>0</v>
          </cell>
          <cell r="D45">
            <v>0</v>
          </cell>
          <cell r="E45">
            <v>6</v>
          </cell>
          <cell r="F45">
            <v>0</v>
          </cell>
          <cell r="G45">
            <v>121</v>
          </cell>
        </row>
        <row r="46">
          <cell r="C46">
            <v>2</v>
          </cell>
          <cell r="D46">
            <v>0</v>
          </cell>
          <cell r="E46">
            <v>6</v>
          </cell>
          <cell r="F46">
            <v>2</v>
          </cell>
          <cell r="G46">
            <v>198</v>
          </cell>
        </row>
        <row r="47">
          <cell r="C47">
            <v>2</v>
          </cell>
          <cell r="D47">
            <v>1</v>
          </cell>
          <cell r="E47">
            <v>8</v>
          </cell>
          <cell r="F47">
            <v>2</v>
          </cell>
          <cell r="G47">
            <v>326</v>
          </cell>
        </row>
        <row r="48">
          <cell r="C48">
            <v>2</v>
          </cell>
          <cell r="D48">
            <v>1</v>
          </cell>
          <cell r="E48">
            <v>8</v>
          </cell>
          <cell r="F48">
            <v>2</v>
          </cell>
          <cell r="G48">
            <v>548</v>
          </cell>
        </row>
        <row r="49">
          <cell r="C49">
            <v>2</v>
          </cell>
          <cell r="D49">
            <v>1</v>
          </cell>
          <cell r="E49">
            <v>8</v>
          </cell>
          <cell r="F49">
            <v>8</v>
          </cell>
          <cell r="G49">
            <v>643</v>
          </cell>
        </row>
        <row r="50">
          <cell r="C50">
            <v>2</v>
          </cell>
          <cell r="D50">
            <v>1</v>
          </cell>
          <cell r="E50">
            <v>11</v>
          </cell>
          <cell r="F50">
            <v>8</v>
          </cell>
          <cell r="G50">
            <v>920</v>
          </cell>
        </row>
        <row r="51">
          <cell r="C51">
            <v>2</v>
          </cell>
          <cell r="D51">
            <v>1</v>
          </cell>
          <cell r="E51">
            <v>11</v>
          </cell>
          <cell r="F51">
            <v>9</v>
          </cell>
          <cell r="G51">
            <v>1406</v>
          </cell>
        </row>
        <row r="52">
          <cell r="C52">
            <v>2</v>
          </cell>
          <cell r="D52">
            <v>1</v>
          </cell>
          <cell r="E52">
            <v>11</v>
          </cell>
          <cell r="F52">
            <v>9</v>
          </cell>
          <cell r="G52">
            <v>2075</v>
          </cell>
        </row>
        <row r="53">
          <cell r="C53">
            <v>3</v>
          </cell>
          <cell r="D53">
            <v>1</v>
          </cell>
          <cell r="E53">
            <v>12</v>
          </cell>
          <cell r="F53">
            <v>9</v>
          </cell>
          <cell r="G53">
            <v>2877</v>
          </cell>
        </row>
        <row r="54">
          <cell r="C54">
            <v>3</v>
          </cell>
          <cell r="D54">
            <v>1</v>
          </cell>
          <cell r="E54">
            <v>12</v>
          </cell>
          <cell r="F54">
            <v>13</v>
          </cell>
          <cell r="G54">
            <v>5509</v>
          </cell>
        </row>
        <row r="55">
          <cell r="C55">
            <v>3</v>
          </cell>
          <cell r="D55">
            <v>2</v>
          </cell>
          <cell r="E55">
            <v>12</v>
          </cell>
          <cell r="F55">
            <v>14</v>
          </cell>
          <cell r="G55">
            <v>6087</v>
          </cell>
        </row>
        <row r="56">
          <cell r="C56">
            <v>3</v>
          </cell>
          <cell r="D56">
            <v>2</v>
          </cell>
          <cell r="E56">
            <v>12</v>
          </cell>
          <cell r="F56">
            <v>14</v>
          </cell>
          <cell r="G56">
            <v>8141</v>
          </cell>
        </row>
        <row r="57">
          <cell r="C57">
            <v>3</v>
          </cell>
          <cell r="D57">
            <v>2</v>
          </cell>
          <cell r="E57">
            <v>12</v>
          </cell>
          <cell r="F57">
            <v>15</v>
          </cell>
          <cell r="G57">
            <v>9802</v>
          </cell>
        </row>
        <row r="58">
          <cell r="C58">
            <v>3</v>
          </cell>
          <cell r="D58">
            <v>2</v>
          </cell>
          <cell r="E58">
            <v>13</v>
          </cell>
          <cell r="F58">
            <v>16</v>
          </cell>
          <cell r="G58">
            <v>11891</v>
          </cell>
        </row>
        <row r="59">
          <cell r="C59">
            <v>3</v>
          </cell>
          <cell r="D59">
            <v>2</v>
          </cell>
          <cell r="E59">
            <v>13</v>
          </cell>
          <cell r="F59">
            <v>17</v>
          </cell>
          <cell r="G59">
            <v>16630</v>
          </cell>
        </row>
        <row r="60">
          <cell r="C60">
            <v>3</v>
          </cell>
          <cell r="D60">
            <v>2</v>
          </cell>
          <cell r="E60">
            <v>14</v>
          </cell>
          <cell r="F60">
            <v>18</v>
          </cell>
          <cell r="G60">
            <v>19716</v>
          </cell>
        </row>
        <row r="61">
          <cell r="C61">
            <v>3</v>
          </cell>
          <cell r="D61">
            <v>2</v>
          </cell>
          <cell r="E61">
            <v>14</v>
          </cell>
          <cell r="F61">
            <v>18</v>
          </cell>
          <cell r="G61">
            <v>23707</v>
          </cell>
        </row>
        <row r="62">
          <cell r="C62">
            <v>3</v>
          </cell>
          <cell r="D62">
            <v>2</v>
          </cell>
          <cell r="E62">
            <v>14</v>
          </cell>
          <cell r="F62">
            <v>18</v>
          </cell>
          <cell r="G62">
            <v>27440</v>
          </cell>
        </row>
        <row r="63">
          <cell r="C63">
            <v>3</v>
          </cell>
          <cell r="D63">
            <v>2</v>
          </cell>
          <cell r="E63">
            <v>14</v>
          </cell>
          <cell r="F63">
            <v>19</v>
          </cell>
          <cell r="G63">
            <v>30587</v>
          </cell>
        </row>
        <row r="64">
          <cell r="C64">
            <v>3</v>
          </cell>
          <cell r="D64">
            <v>2</v>
          </cell>
          <cell r="E64">
            <v>14</v>
          </cell>
          <cell r="F64">
            <v>19</v>
          </cell>
          <cell r="G64">
            <v>34110</v>
          </cell>
        </row>
        <row r="65">
          <cell r="C65">
            <v>3</v>
          </cell>
          <cell r="D65">
            <v>2</v>
          </cell>
          <cell r="E65">
            <v>14</v>
          </cell>
          <cell r="F65">
            <v>20</v>
          </cell>
          <cell r="G65">
            <v>36814</v>
          </cell>
        </row>
        <row r="66">
          <cell r="C66">
            <v>3</v>
          </cell>
          <cell r="D66">
            <v>2</v>
          </cell>
          <cell r="E66">
            <v>14</v>
          </cell>
          <cell r="F66">
            <v>22</v>
          </cell>
          <cell r="G66">
            <v>39829</v>
          </cell>
        </row>
        <row r="67">
          <cell r="C67">
            <v>20</v>
          </cell>
          <cell r="D67">
            <v>2</v>
          </cell>
          <cell r="E67">
            <v>14</v>
          </cell>
          <cell r="F67">
            <v>23</v>
          </cell>
          <cell r="G67">
            <v>42354</v>
          </cell>
        </row>
        <row r="68">
          <cell r="C68">
            <v>62</v>
          </cell>
          <cell r="D68">
            <v>2</v>
          </cell>
          <cell r="E68">
            <v>16</v>
          </cell>
          <cell r="F68">
            <v>23</v>
          </cell>
          <cell r="G68">
            <v>44386</v>
          </cell>
        </row>
        <row r="69">
          <cell r="C69">
            <v>155</v>
          </cell>
          <cell r="D69">
            <v>2</v>
          </cell>
          <cell r="E69">
            <v>16</v>
          </cell>
          <cell r="F69">
            <v>28</v>
          </cell>
          <cell r="G69">
            <v>44759</v>
          </cell>
        </row>
        <row r="70">
          <cell r="C70">
            <v>229</v>
          </cell>
          <cell r="D70">
            <v>2</v>
          </cell>
          <cell r="E70">
            <v>16</v>
          </cell>
          <cell r="F70">
            <v>30</v>
          </cell>
          <cell r="G70">
            <v>59895</v>
          </cell>
        </row>
        <row r="71">
          <cell r="C71">
            <v>322</v>
          </cell>
          <cell r="D71">
            <v>6</v>
          </cell>
          <cell r="E71">
            <v>16</v>
          </cell>
          <cell r="F71">
            <v>34</v>
          </cell>
          <cell r="G71">
            <v>66358</v>
          </cell>
        </row>
        <row r="72">
          <cell r="C72">
            <v>453</v>
          </cell>
          <cell r="D72">
            <v>13</v>
          </cell>
          <cell r="E72">
            <v>16</v>
          </cell>
          <cell r="F72">
            <v>37</v>
          </cell>
          <cell r="G72">
            <v>68413</v>
          </cell>
        </row>
        <row r="73">
          <cell r="C73">
            <v>655</v>
          </cell>
          <cell r="D73">
            <v>15</v>
          </cell>
          <cell r="E73">
            <v>16</v>
          </cell>
          <cell r="F73">
            <v>44</v>
          </cell>
          <cell r="G73">
            <v>70513</v>
          </cell>
        </row>
        <row r="74">
          <cell r="C74">
            <v>888</v>
          </cell>
          <cell r="D74">
            <v>32</v>
          </cell>
          <cell r="E74">
            <v>17</v>
          </cell>
          <cell r="F74">
            <v>56</v>
          </cell>
          <cell r="G74">
            <v>72434</v>
          </cell>
        </row>
        <row r="75">
          <cell r="C75">
            <v>1128</v>
          </cell>
          <cell r="D75">
            <v>45</v>
          </cell>
          <cell r="E75">
            <v>17</v>
          </cell>
          <cell r="F75">
            <v>61</v>
          </cell>
          <cell r="G75">
            <v>74211</v>
          </cell>
        </row>
        <row r="76">
          <cell r="C76">
            <v>1694</v>
          </cell>
          <cell r="D76">
            <v>84</v>
          </cell>
          <cell r="E76">
            <v>25</v>
          </cell>
          <cell r="F76">
            <v>94</v>
          </cell>
          <cell r="G76">
            <v>74619</v>
          </cell>
        </row>
        <row r="77">
          <cell r="C77">
            <v>2036</v>
          </cell>
          <cell r="D77">
            <v>120</v>
          </cell>
          <cell r="E77">
            <v>32</v>
          </cell>
          <cell r="F77">
            <v>134</v>
          </cell>
          <cell r="G77">
            <v>75077</v>
          </cell>
        </row>
        <row r="78">
          <cell r="C78">
            <v>2502</v>
          </cell>
          <cell r="D78">
            <v>165</v>
          </cell>
          <cell r="E78">
            <v>55</v>
          </cell>
          <cell r="F78">
            <v>189</v>
          </cell>
          <cell r="G78">
            <v>75550</v>
          </cell>
        </row>
        <row r="79">
          <cell r="C79">
            <v>3089</v>
          </cell>
          <cell r="D79">
            <v>222</v>
          </cell>
          <cell r="E79">
            <v>74</v>
          </cell>
          <cell r="F79">
            <v>246</v>
          </cell>
          <cell r="G79">
            <v>77001</v>
          </cell>
        </row>
        <row r="80">
          <cell r="C80">
            <v>3858</v>
          </cell>
          <cell r="D80">
            <v>259</v>
          </cell>
          <cell r="E80">
            <v>107</v>
          </cell>
          <cell r="F80">
            <v>295</v>
          </cell>
          <cell r="G80">
            <v>77022</v>
          </cell>
        </row>
        <row r="81">
          <cell r="C81">
            <v>4636</v>
          </cell>
          <cell r="D81">
            <v>400</v>
          </cell>
          <cell r="E81">
            <v>184</v>
          </cell>
          <cell r="F81">
            <v>374</v>
          </cell>
          <cell r="G81">
            <v>77241</v>
          </cell>
        </row>
        <row r="82">
          <cell r="C82">
            <v>5883</v>
          </cell>
          <cell r="D82">
            <v>500</v>
          </cell>
          <cell r="E82">
            <v>237</v>
          </cell>
          <cell r="F82">
            <v>429</v>
          </cell>
          <cell r="G82">
            <v>77754</v>
          </cell>
        </row>
        <row r="83">
          <cell r="C83">
            <v>7375</v>
          </cell>
          <cell r="D83">
            <v>673</v>
          </cell>
          <cell r="E83">
            <v>403</v>
          </cell>
          <cell r="F83">
            <v>483</v>
          </cell>
          <cell r="G83">
            <v>78166</v>
          </cell>
        </row>
        <row r="84">
          <cell r="C84">
            <v>9172</v>
          </cell>
          <cell r="D84">
            <v>1073</v>
          </cell>
          <cell r="E84">
            <v>519</v>
          </cell>
          <cell r="F84">
            <v>630</v>
          </cell>
          <cell r="G84">
            <v>78600</v>
          </cell>
        </row>
        <row r="85">
          <cell r="C85">
            <v>10149</v>
          </cell>
          <cell r="D85">
            <v>1695</v>
          </cell>
          <cell r="E85">
            <v>594</v>
          </cell>
          <cell r="F85">
            <v>889</v>
          </cell>
          <cell r="G85">
            <v>78928</v>
          </cell>
        </row>
        <row r="86">
          <cell r="C86">
            <v>12462</v>
          </cell>
          <cell r="D86">
            <v>2277</v>
          </cell>
          <cell r="E86">
            <v>782</v>
          </cell>
          <cell r="F86">
            <v>1301</v>
          </cell>
          <cell r="G86">
            <v>79356</v>
          </cell>
        </row>
        <row r="87">
          <cell r="C87">
            <v>12462</v>
          </cell>
          <cell r="D87">
            <v>2277</v>
          </cell>
          <cell r="E87">
            <v>1147</v>
          </cell>
          <cell r="F87">
            <v>1790</v>
          </cell>
          <cell r="G87">
            <v>79932</v>
          </cell>
        </row>
        <row r="88">
          <cell r="C88">
            <v>17660</v>
          </cell>
          <cell r="D88">
            <v>5232</v>
          </cell>
          <cell r="E88">
            <v>1586</v>
          </cell>
          <cell r="F88">
            <v>2270</v>
          </cell>
          <cell r="G88">
            <v>80136</v>
          </cell>
        </row>
        <row r="89">
          <cell r="C89">
            <v>21157</v>
          </cell>
          <cell r="D89">
            <v>6391</v>
          </cell>
          <cell r="E89">
            <v>2219</v>
          </cell>
          <cell r="F89">
            <v>2634</v>
          </cell>
          <cell r="G89">
            <v>80261</v>
          </cell>
        </row>
        <row r="90">
          <cell r="C90">
            <v>24747</v>
          </cell>
          <cell r="D90">
            <v>7798</v>
          </cell>
          <cell r="E90">
            <v>2978</v>
          </cell>
          <cell r="F90">
            <v>3077</v>
          </cell>
          <cell r="G90">
            <v>80386</v>
          </cell>
        </row>
        <row r="91">
          <cell r="C91">
            <v>27980</v>
          </cell>
          <cell r="D91">
            <v>9942</v>
          </cell>
          <cell r="E91">
            <v>3212</v>
          </cell>
          <cell r="F91">
            <v>3692</v>
          </cell>
          <cell r="G91">
            <v>80537</v>
          </cell>
        </row>
        <row r="92">
          <cell r="C92">
            <v>31506</v>
          </cell>
          <cell r="D92">
            <v>11748</v>
          </cell>
          <cell r="E92">
            <v>4679</v>
          </cell>
          <cell r="F92">
            <v>4462</v>
          </cell>
          <cell r="G92">
            <v>80690</v>
          </cell>
        </row>
        <row r="93">
          <cell r="C93">
            <v>35713</v>
          </cell>
          <cell r="D93">
            <v>13910</v>
          </cell>
          <cell r="E93">
            <v>6512</v>
          </cell>
          <cell r="F93">
            <v>5467</v>
          </cell>
          <cell r="G93">
            <v>80770</v>
          </cell>
        </row>
        <row r="94">
          <cell r="C94">
            <v>41035</v>
          </cell>
          <cell r="D94">
            <v>17963</v>
          </cell>
          <cell r="E94">
            <v>9169</v>
          </cell>
          <cell r="F94">
            <v>6533</v>
          </cell>
          <cell r="G94">
            <v>80823</v>
          </cell>
        </row>
        <row r="95">
          <cell r="C95">
            <v>47021</v>
          </cell>
          <cell r="D95">
            <v>20410</v>
          </cell>
          <cell r="E95">
            <v>13663</v>
          </cell>
          <cell r="F95">
            <v>7791</v>
          </cell>
          <cell r="G95">
            <v>80860</v>
          </cell>
        </row>
        <row r="96">
          <cell r="C96">
            <v>53578</v>
          </cell>
          <cell r="D96">
            <v>25374</v>
          </cell>
          <cell r="E96">
            <v>20030</v>
          </cell>
          <cell r="F96">
            <v>9006</v>
          </cell>
          <cell r="G96">
            <v>80887</v>
          </cell>
        </row>
        <row r="97">
          <cell r="C97">
            <v>59138</v>
          </cell>
          <cell r="D97">
            <v>28768</v>
          </cell>
          <cell r="E97">
            <v>26025</v>
          </cell>
          <cell r="F97">
            <v>10395</v>
          </cell>
          <cell r="G97">
            <v>80921</v>
          </cell>
        </row>
        <row r="98">
          <cell r="C98">
            <v>63927</v>
          </cell>
          <cell r="D98">
            <v>35136</v>
          </cell>
          <cell r="E98">
            <v>34898</v>
          </cell>
          <cell r="F98">
            <v>12744</v>
          </cell>
          <cell r="G98">
            <v>80932</v>
          </cell>
        </row>
        <row r="99">
          <cell r="C99">
            <v>69176</v>
          </cell>
          <cell r="D99">
            <v>39885</v>
          </cell>
          <cell r="E99">
            <v>46136</v>
          </cell>
          <cell r="F99">
            <v>15126</v>
          </cell>
          <cell r="G99">
            <v>80945</v>
          </cell>
        </row>
        <row r="100">
          <cell r="C100">
            <v>74386</v>
          </cell>
          <cell r="D100">
            <v>49515</v>
          </cell>
          <cell r="E100">
            <v>56755</v>
          </cell>
          <cell r="F100">
            <v>17843</v>
          </cell>
          <cell r="G100">
            <v>80977</v>
          </cell>
        </row>
        <row r="101">
          <cell r="C101">
            <v>80589</v>
          </cell>
          <cell r="D101">
            <v>57786</v>
          </cell>
          <cell r="E101">
            <v>68837</v>
          </cell>
          <cell r="F101">
            <v>20970</v>
          </cell>
          <cell r="G101">
            <v>81003</v>
          </cell>
        </row>
        <row r="102">
          <cell r="C102">
            <v>86498</v>
          </cell>
          <cell r="D102">
            <v>65719</v>
          </cell>
          <cell r="E102">
            <v>86693</v>
          </cell>
          <cell r="F102">
            <v>24219</v>
          </cell>
          <cell r="G102">
            <v>81033</v>
          </cell>
        </row>
        <row r="103">
          <cell r="C103">
            <v>92472</v>
          </cell>
          <cell r="D103">
            <v>73235</v>
          </cell>
          <cell r="E103">
            <v>105383</v>
          </cell>
          <cell r="F103">
            <v>27062</v>
          </cell>
          <cell r="G103">
            <v>81058</v>
          </cell>
        </row>
        <row r="104">
          <cell r="C104">
            <v>97689</v>
          </cell>
          <cell r="D104">
            <v>80110</v>
          </cell>
          <cell r="E104">
            <v>125013</v>
          </cell>
          <cell r="F104">
            <v>29954</v>
          </cell>
          <cell r="G104">
            <v>81102</v>
          </cell>
        </row>
        <row r="105">
          <cell r="C105">
            <v>101739</v>
          </cell>
          <cell r="D105">
            <v>87956</v>
          </cell>
          <cell r="E105">
            <v>143912</v>
          </cell>
          <cell r="F105">
            <v>34281</v>
          </cell>
          <cell r="G105">
            <v>81156</v>
          </cell>
        </row>
        <row r="106">
          <cell r="C106">
            <v>105792</v>
          </cell>
          <cell r="D106">
            <v>95923</v>
          </cell>
          <cell r="E106">
            <v>165987</v>
          </cell>
          <cell r="F106">
            <v>38815</v>
          </cell>
          <cell r="G106">
            <v>81250</v>
          </cell>
        </row>
        <row r="107">
          <cell r="C107">
            <v>110574</v>
          </cell>
          <cell r="D107">
            <v>104118</v>
          </cell>
          <cell r="E107">
            <v>192301</v>
          </cell>
          <cell r="F107">
            <v>43789</v>
          </cell>
          <cell r="G107">
            <v>81305</v>
          </cell>
        </row>
        <row r="108">
          <cell r="C108">
            <v>115242</v>
          </cell>
          <cell r="D108">
            <v>112065</v>
          </cell>
          <cell r="E108">
            <v>224587</v>
          </cell>
          <cell r="F108">
            <v>48718</v>
          </cell>
          <cell r="G108">
            <v>81435</v>
          </cell>
        </row>
        <row r="109">
          <cell r="C109">
            <v>119827</v>
          </cell>
          <cell r="D109">
            <v>119199</v>
          </cell>
          <cell r="E109">
            <v>256809</v>
          </cell>
          <cell r="F109">
            <v>53699</v>
          </cell>
          <cell r="G109">
            <v>81498</v>
          </cell>
        </row>
        <row r="110">
          <cell r="C110">
            <v>124632</v>
          </cell>
          <cell r="D110">
            <v>126168</v>
          </cell>
          <cell r="E110">
            <v>289116</v>
          </cell>
          <cell r="F110">
            <v>57772</v>
          </cell>
          <cell r="G110">
            <v>81591</v>
          </cell>
        </row>
        <row r="111">
          <cell r="C111">
            <v>128948</v>
          </cell>
          <cell r="D111">
            <v>131646</v>
          </cell>
          <cell r="E111">
            <v>321502</v>
          </cell>
          <cell r="F111">
            <v>61422</v>
          </cell>
          <cell r="G111">
            <v>81661</v>
          </cell>
        </row>
        <row r="112">
          <cell r="C112">
            <v>132547</v>
          </cell>
          <cell r="D112">
            <v>136675</v>
          </cell>
          <cell r="E112">
            <v>351397</v>
          </cell>
          <cell r="F112">
            <v>66738</v>
          </cell>
          <cell r="G112">
            <v>81782</v>
          </cell>
        </row>
        <row r="113">
          <cell r="C113">
            <v>135586</v>
          </cell>
          <cell r="D113">
            <v>141942</v>
          </cell>
          <cell r="E113">
            <v>382787</v>
          </cell>
          <cell r="F113">
            <v>72224</v>
          </cell>
          <cell r="G113">
            <v>81897</v>
          </cell>
        </row>
        <row r="114">
          <cell r="C114">
            <v>139422</v>
          </cell>
          <cell r="D114">
            <v>148220</v>
          </cell>
          <cell r="E114">
            <v>413566</v>
          </cell>
          <cell r="F114">
            <v>77387</v>
          </cell>
          <cell r="G114">
            <v>81999</v>
          </cell>
        </row>
        <row r="115">
          <cell r="C115">
            <v>143626</v>
          </cell>
          <cell r="D115">
            <v>153222</v>
          </cell>
          <cell r="E115">
            <v>444801</v>
          </cell>
          <cell r="F115">
            <v>82293</v>
          </cell>
          <cell r="G115">
            <v>82122</v>
          </cell>
        </row>
        <row r="116">
          <cell r="C116">
            <v>147577</v>
          </cell>
          <cell r="D116">
            <v>158273</v>
          </cell>
          <cell r="E116">
            <v>480743</v>
          </cell>
          <cell r="F116">
            <v>86660</v>
          </cell>
          <cell r="G116">
            <v>82198</v>
          </cell>
        </row>
        <row r="117">
          <cell r="C117">
            <v>152271</v>
          </cell>
          <cell r="D117">
            <v>163027</v>
          </cell>
          <cell r="E117">
            <v>515146</v>
          </cell>
          <cell r="F117">
            <v>90273</v>
          </cell>
          <cell r="G117">
            <v>82279</v>
          </cell>
        </row>
        <row r="118">
          <cell r="C118">
            <v>156363</v>
          </cell>
          <cell r="D118">
            <v>166831</v>
          </cell>
          <cell r="E118">
            <v>544229</v>
          </cell>
          <cell r="F118">
            <v>93812</v>
          </cell>
          <cell r="G118">
            <v>82361</v>
          </cell>
        </row>
        <row r="119">
          <cell r="C119">
            <v>159516</v>
          </cell>
          <cell r="D119">
            <v>170099</v>
          </cell>
          <cell r="E119">
            <v>571485</v>
          </cell>
          <cell r="F119">
            <v>98017</v>
          </cell>
          <cell r="G119">
            <v>82432</v>
          </cell>
        </row>
        <row r="120">
          <cell r="C120">
            <v>162488</v>
          </cell>
          <cell r="D120">
            <v>172541</v>
          </cell>
          <cell r="E120">
            <v>598424</v>
          </cell>
          <cell r="F120">
            <v>102365</v>
          </cell>
          <cell r="G120">
            <v>82511</v>
          </cell>
        </row>
        <row r="121">
          <cell r="C121">
            <v>165155</v>
          </cell>
          <cell r="D121">
            <v>177644</v>
          </cell>
          <cell r="E121">
            <v>627242</v>
          </cell>
          <cell r="F121">
            <v>107465</v>
          </cell>
          <cell r="G121">
            <v>82543</v>
          </cell>
        </row>
        <row r="122">
          <cell r="C122">
            <v>168941</v>
          </cell>
          <cell r="D122">
            <v>184948</v>
          </cell>
          <cell r="E122">
            <v>652650</v>
          </cell>
          <cell r="F122">
            <v>112808</v>
          </cell>
          <cell r="G122">
            <v>82602</v>
          </cell>
        </row>
        <row r="123">
          <cell r="C123">
            <v>172434</v>
          </cell>
          <cell r="D123">
            <v>190839</v>
          </cell>
          <cell r="E123">
            <v>682652</v>
          </cell>
          <cell r="F123">
            <v>117798</v>
          </cell>
          <cell r="G123">
            <v>82665</v>
          </cell>
        </row>
        <row r="124">
          <cell r="C124">
            <v>175925</v>
          </cell>
          <cell r="D124">
            <v>191726</v>
          </cell>
          <cell r="E124">
            <v>715718</v>
          </cell>
          <cell r="F124">
            <v>122534</v>
          </cell>
          <cell r="G124">
            <v>82718</v>
          </cell>
        </row>
        <row r="125">
          <cell r="C125">
            <v>178972</v>
          </cell>
          <cell r="D125">
            <v>198674</v>
          </cell>
          <cell r="E125">
            <v>743625</v>
          </cell>
          <cell r="F125">
            <v>126394</v>
          </cell>
          <cell r="G125">
            <v>82809</v>
          </cell>
        </row>
        <row r="126">
          <cell r="C126">
            <v>181228</v>
          </cell>
          <cell r="D126">
            <v>200210</v>
          </cell>
          <cell r="E126">
            <v>769687</v>
          </cell>
          <cell r="F126">
            <v>131260</v>
          </cell>
          <cell r="G126">
            <v>82883</v>
          </cell>
        </row>
        <row r="127">
          <cell r="C127">
            <v>183957</v>
          </cell>
          <cell r="D127">
            <v>204178</v>
          </cell>
          <cell r="E127">
            <v>799507</v>
          </cell>
          <cell r="F127">
            <v>136035</v>
          </cell>
          <cell r="G127">
            <v>82941</v>
          </cell>
        </row>
        <row r="128">
          <cell r="C128">
            <v>187327</v>
          </cell>
          <cell r="D128">
            <v>208389</v>
          </cell>
          <cell r="E128">
            <v>825433</v>
          </cell>
          <cell r="F128">
            <v>141540</v>
          </cell>
          <cell r="G128">
            <v>83014</v>
          </cell>
        </row>
        <row r="129">
          <cell r="C129">
            <v>189973</v>
          </cell>
          <cell r="D129">
            <v>213024</v>
          </cell>
          <cell r="E129">
            <v>854344</v>
          </cell>
          <cell r="F129">
            <v>146708</v>
          </cell>
          <cell r="G129">
            <v>83134</v>
          </cell>
        </row>
        <row r="130">
          <cell r="C130">
            <v>192994</v>
          </cell>
          <cell r="D130">
            <v>202990</v>
          </cell>
          <cell r="E130">
            <v>887956</v>
          </cell>
          <cell r="F130">
            <v>151689</v>
          </cell>
          <cell r="G130">
            <v>83213</v>
          </cell>
        </row>
        <row r="131">
          <cell r="C131">
            <v>195351</v>
          </cell>
          <cell r="D131">
            <v>205905</v>
          </cell>
          <cell r="E131">
            <v>920283</v>
          </cell>
          <cell r="F131">
            <v>155453</v>
          </cell>
          <cell r="G131">
            <v>83306</v>
          </cell>
        </row>
        <row r="132">
          <cell r="C132">
            <v>197675</v>
          </cell>
          <cell r="D132">
            <v>207634</v>
          </cell>
          <cell r="E132">
            <v>950663</v>
          </cell>
          <cell r="F132">
            <v>158926</v>
          </cell>
          <cell r="G132">
            <v>83356</v>
          </cell>
        </row>
        <row r="133">
          <cell r="C133">
            <v>199414</v>
          </cell>
          <cell r="D133">
            <v>209465</v>
          </cell>
          <cell r="E133">
            <v>977151</v>
          </cell>
          <cell r="F133">
            <v>163630</v>
          </cell>
          <cell r="G133">
            <v>83403</v>
          </cell>
        </row>
        <row r="134">
          <cell r="C134">
            <v>201505</v>
          </cell>
          <cell r="D134">
            <v>210773</v>
          </cell>
          <cell r="E134">
            <v>1000866</v>
          </cell>
          <cell r="F134">
            <v>168357</v>
          </cell>
          <cell r="G134">
            <v>83760</v>
          </cell>
        </row>
        <row r="135">
          <cell r="C135">
            <v>203591</v>
          </cell>
          <cell r="D135">
            <v>212917</v>
          </cell>
          <cell r="E135">
            <v>1025441</v>
          </cell>
          <cell r="F135">
            <v>173807</v>
          </cell>
          <cell r="G135">
            <v>83787</v>
          </cell>
        </row>
        <row r="136">
          <cell r="C136">
            <v>205463</v>
          </cell>
          <cell r="D136">
            <v>213435</v>
          </cell>
          <cell r="E136">
            <v>1051900</v>
          </cell>
          <cell r="F136">
            <v>178771</v>
          </cell>
          <cell r="G136">
            <v>83805</v>
          </cell>
        </row>
        <row r="137">
          <cell r="C137">
            <v>207428</v>
          </cell>
          <cell r="D137">
            <v>213435</v>
          </cell>
          <cell r="E137">
            <v>1081105</v>
          </cell>
          <cell r="F137">
            <v>183501</v>
          </cell>
          <cell r="G137">
            <v>83817</v>
          </cell>
        </row>
        <row r="138">
          <cell r="C138">
            <v>209328</v>
          </cell>
          <cell r="D138">
            <v>216582</v>
          </cell>
          <cell r="E138">
            <v>1116012</v>
          </cell>
          <cell r="F138">
            <v>186731</v>
          </cell>
          <cell r="G138">
            <v>83853</v>
          </cell>
        </row>
        <row r="139">
          <cell r="C139">
            <v>210717</v>
          </cell>
          <cell r="D139">
            <v>217466</v>
          </cell>
          <cell r="E139">
            <v>1143360</v>
          </cell>
          <cell r="F139">
            <v>189708</v>
          </cell>
          <cell r="G139">
            <v>83868</v>
          </cell>
        </row>
        <row r="140">
          <cell r="C140">
            <v>211938</v>
          </cell>
          <cell r="D140">
            <v>218011</v>
          </cell>
          <cell r="E140">
            <v>1167681</v>
          </cell>
          <cell r="F140">
            <v>193091</v>
          </cell>
          <cell r="G140">
            <v>83884</v>
          </cell>
        </row>
        <row r="141">
          <cell r="C141">
            <v>213013</v>
          </cell>
          <cell r="D141">
            <v>219329</v>
          </cell>
          <cell r="E141">
            <v>1191749</v>
          </cell>
          <cell r="F141">
            <v>196780</v>
          </cell>
          <cell r="G141">
            <v>83899</v>
          </cell>
        </row>
        <row r="142">
          <cell r="C142">
            <v>214457</v>
          </cell>
          <cell r="D142">
            <v>220325</v>
          </cell>
          <cell r="E142">
            <v>1216277</v>
          </cell>
          <cell r="F142">
            <v>200616</v>
          </cell>
          <cell r="G142">
            <v>83909</v>
          </cell>
        </row>
        <row r="143">
          <cell r="C143">
            <v>215858</v>
          </cell>
          <cell r="D143">
            <v>221447</v>
          </cell>
          <cell r="E143">
            <v>1240846</v>
          </cell>
          <cell r="F143">
            <v>204387</v>
          </cell>
          <cell r="G143">
            <v>83912</v>
          </cell>
        </row>
        <row r="144">
          <cell r="C144">
            <v>217185</v>
          </cell>
          <cell r="D144">
            <v>222857</v>
          </cell>
          <cell r="E144">
            <v>1268275</v>
          </cell>
          <cell r="F144">
            <v>207439</v>
          </cell>
          <cell r="G144">
            <v>83918</v>
          </cell>
        </row>
        <row r="145">
          <cell r="C145">
            <v>218268</v>
          </cell>
          <cell r="D145">
            <v>223578</v>
          </cell>
          <cell r="E145">
            <v>1295105</v>
          </cell>
          <cell r="F145">
            <v>209589</v>
          </cell>
          <cell r="G145">
            <v>83940</v>
          </cell>
        </row>
        <row r="146">
          <cell r="C146">
            <v>219070</v>
          </cell>
          <cell r="D146">
            <v>224350</v>
          </cell>
          <cell r="E146">
            <v>1320281</v>
          </cell>
          <cell r="F146">
            <v>211911</v>
          </cell>
          <cell r="G146">
            <v>83944</v>
          </cell>
        </row>
        <row r="147">
          <cell r="C147">
            <v>219814</v>
          </cell>
          <cell r="D147">
            <v>227436</v>
          </cell>
          <cell r="E147">
            <v>1339086</v>
          </cell>
          <cell r="F147">
            <v>215500</v>
          </cell>
          <cell r="G147">
            <v>83956</v>
          </cell>
        </row>
        <row r="148">
          <cell r="C148">
            <v>221216</v>
          </cell>
          <cell r="D148">
            <v>228030</v>
          </cell>
          <cell r="E148">
            <v>1358384</v>
          </cell>
          <cell r="F148">
            <v>218895</v>
          </cell>
          <cell r="G148">
            <v>83959</v>
          </cell>
        </row>
        <row r="149">
          <cell r="C149">
            <v>222104</v>
          </cell>
          <cell r="D149">
            <v>228691</v>
          </cell>
          <cell r="E149">
            <v>1381311</v>
          </cell>
          <cell r="F149">
            <v>222195</v>
          </cell>
          <cell r="G149">
            <v>83959</v>
          </cell>
        </row>
        <row r="150">
          <cell r="C150">
            <v>223096</v>
          </cell>
          <cell r="D150">
            <v>229540</v>
          </cell>
          <cell r="E150">
            <v>1401744</v>
          </cell>
          <cell r="F150">
            <v>224813</v>
          </cell>
          <cell r="G150">
            <v>83964</v>
          </cell>
        </row>
        <row r="151">
          <cell r="C151">
            <v>223885</v>
          </cell>
          <cell r="D151">
            <v>230183</v>
          </cell>
          <cell r="E151">
            <v>1428561</v>
          </cell>
          <cell r="F151">
            <v>227334</v>
          </cell>
          <cell r="G151">
            <v>83965</v>
          </cell>
        </row>
        <row r="152">
          <cell r="C152">
            <v>224760</v>
          </cell>
          <cell r="D152">
            <v>230698</v>
          </cell>
          <cell r="E152">
            <v>1453294</v>
          </cell>
          <cell r="F152">
            <v>229406</v>
          </cell>
          <cell r="G152">
            <v>83968</v>
          </cell>
        </row>
        <row r="153">
          <cell r="C153">
            <v>225435</v>
          </cell>
          <cell r="D153">
            <v>230698</v>
          </cell>
          <cell r="E153">
            <v>1477429</v>
          </cell>
          <cell r="F153">
            <v>231232</v>
          </cell>
          <cell r="G153">
            <v>83970</v>
          </cell>
        </row>
        <row r="154">
          <cell r="C154">
            <v>225886</v>
          </cell>
          <cell r="D154">
            <v>231606</v>
          </cell>
          <cell r="E154">
            <v>1495817</v>
          </cell>
          <cell r="F154">
            <v>233809</v>
          </cell>
          <cell r="G154">
            <v>83975</v>
          </cell>
        </row>
        <row r="155">
          <cell r="C155">
            <v>226699</v>
          </cell>
          <cell r="D155">
            <v>232037</v>
          </cell>
          <cell r="E155">
            <v>1518206</v>
          </cell>
          <cell r="F155">
            <v>236867</v>
          </cell>
          <cell r="G155">
            <v>83976</v>
          </cell>
        </row>
        <row r="156">
          <cell r="C156">
            <v>227364</v>
          </cell>
          <cell r="D156">
            <v>232555</v>
          </cell>
          <cell r="E156">
            <v>1539185</v>
          </cell>
          <cell r="F156">
            <v>239579</v>
          </cell>
          <cell r="G156">
            <v>83990</v>
          </cell>
        </row>
        <row r="157">
          <cell r="C157">
            <v>228006</v>
          </cell>
          <cell r="D157">
            <v>233037</v>
          </cell>
          <cell r="E157">
            <v>1561910</v>
          </cell>
          <cell r="F157">
            <v>242133</v>
          </cell>
          <cell r="G157">
            <v>84010</v>
          </cell>
        </row>
        <row r="158">
          <cell r="C158">
            <v>228658</v>
          </cell>
          <cell r="D158">
            <v>234824</v>
          </cell>
          <cell r="E158">
            <v>1587679</v>
          </cell>
          <cell r="F158">
            <v>244174</v>
          </cell>
          <cell r="G158">
            <v>84011</v>
          </cell>
        </row>
        <row r="159">
          <cell r="C159">
            <v>229327</v>
          </cell>
          <cell r="D159">
            <v>235290</v>
          </cell>
          <cell r="E159">
            <v>1611328</v>
          </cell>
          <cell r="F159">
            <v>245682</v>
          </cell>
          <cell r="G159">
            <v>84018</v>
          </cell>
        </row>
        <row r="160">
          <cell r="C160">
            <v>229858</v>
          </cell>
          <cell r="D160">
            <v>235772</v>
          </cell>
          <cell r="E160">
            <v>1632427</v>
          </cell>
          <cell r="F160">
            <v>247037</v>
          </cell>
          <cell r="G160">
            <v>84024</v>
          </cell>
        </row>
        <row r="161">
          <cell r="C161">
            <v>230158</v>
          </cell>
          <cell r="D161">
            <v>235400</v>
          </cell>
          <cell r="E161">
            <v>1652504</v>
          </cell>
          <cell r="F161">
            <v>248650</v>
          </cell>
          <cell r="G161">
            <v>84029</v>
          </cell>
        </row>
        <row r="162">
          <cell r="C162">
            <v>230555</v>
          </cell>
          <cell r="D162">
            <v>236259</v>
          </cell>
          <cell r="E162">
            <v>1671166</v>
          </cell>
          <cell r="F162">
            <v>250309</v>
          </cell>
          <cell r="G162">
            <v>84038</v>
          </cell>
        </row>
        <row r="163">
          <cell r="C163">
            <v>231139</v>
          </cell>
          <cell r="D163">
            <v>236259</v>
          </cell>
          <cell r="E163">
            <v>1690829</v>
          </cell>
          <cell r="F163">
            <v>252118</v>
          </cell>
          <cell r="G163">
            <v>84044</v>
          </cell>
        </row>
        <row r="164">
          <cell r="C164">
            <v>231732</v>
          </cell>
          <cell r="D164">
            <v>237906</v>
          </cell>
          <cell r="E164">
            <v>1709380</v>
          </cell>
          <cell r="F164">
            <v>253854</v>
          </cell>
          <cell r="G164">
            <v>84054</v>
          </cell>
        </row>
        <row r="165">
          <cell r="C165">
            <v>232248</v>
          </cell>
          <cell r="D165">
            <v>238564</v>
          </cell>
          <cell r="E165">
            <v>1731700</v>
          </cell>
          <cell r="F165">
            <v>255362</v>
          </cell>
          <cell r="G165">
            <v>84063</v>
          </cell>
        </row>
        <row r="166">
          <cell r="C166">
            <v>232664</v>
          </cell>
          <cell r="D166">
            <v>239228</v>
          </cell>
          <cell r="E166">
            <v>1756178</v>
          </cell>
          <cell r="F166">
            <v>256469</v>
          </cell>
          <cell r="G166">
            <v>84063</v>
          </cell>
        </row>
        <row r="167">
          <cell r="C167">
            <v>232997</v>
          </cell>
          <cell r="D167">
            <v>239479</v>
          </cell>
          <cell r="E167">
            <v>1779810</v>
          </cell>
          <cell r="F167">
            <v>257539</v>
          </cell>
          <cell r="G167">
            <v>84063</v>
          </cell>
        </row>
        <row r="168">
          <cell r="C168">
            <v>233197</v>
          </cell>
          <cell r="D168">
            <v>239638</v>
          </cell>
          <cell r="E168">
            <v>1798793</v>
          </cell>
          <cell r="F168">
            <v>258983</v>
          </cell>
          <cell r="G168">
            <v>84063</v>
          </cell>
        </row>
        <row r="169">
          <cell r="C169">
            <v>233515</v>
          </cell>
          <cell r="D169">
            <v>239932</v>
          </cell>
          <cell r="E169">
            <v>1816207</v>
          </cell>
          <cell r="F169">
            <v>260453</v>
          </cell>
          <cell r="G169">
            <v>84081</v>
          </cell>
        </row>
        <row r="170">
          <cell r="C170">
            <v>233836</v>
          </cell>
          <cell r="D170">
            <v>240326</v>
          </cell>
          <cell r="E170">
            <v>1837709</v>
          </cell>
          <cell r="F170">
            <v>261802</v>
          </cell>
          <cell r="G170">
            <v>84084</v>
          </cell>
        </row>
        <row r="171">
          <cell r="C171">
            <v>234013</v>
          </cell>
          <cell r="D171">
            <v>240660</v>
          </cell>
          <cell r="E171">
            <v>1857566</v>
          </cell>
          <cell r="F171">
            <v>263040</v>
          </cell>
          <cell r="G171">
            <v>84095</v>
          </cell>
        </row>
        <row r="172">
          <cell r="C172">
            <v>234531</v>
          </cell>
          <cell r="D172">
            <v>240978</v>
          </cell>
          <cell r="E172">
            <v>1879224</v>
          </cell>
          <cell r="F172">
            <v>264150</v>
          </cell>
          <cell r="G172">
            <v>84102</v>
          </cell>
        </row>
        <row r="173">
          <cell r="C173">
            <v>234801</v>
          </cell>
          <cell r="D173">
            <v>241310</v>
          </cell>
          <cell r="E173">
            <v>1904627</v>
          </cell>
          <cell r="F173">
            <v>264944</v>
          </cell>
          <cell r="G173">
            <v>84103</v>
          </cell>
        </row>
        <row r="174">
          <cell r="C174">
            <v>234998</v>
          </cell>
          <cell r="D174">
            <v>241550</v>
          </cell>
          <cell r="E174">
            <v>1925769</v>
          </cell>
          <cell r="F174">
            <v>265662</v>
          </cell>
          <cell r="G174">
            <v>84106</v>
          </cell>
        </row>
        <row r="175">
          <cell r="C175">
            <v>235278</v>
          </cell>
          <cell r="D175">
            <v>241717</v>
          </cell>
          <cell r="E175">
            <v>1943697</v>
          </cell>
          <cell r="F175">
            <v>266756</v>
          </cell>
          <cell r="G175">
            <v>84106</v>
          </cell>
        </row>
        <row r="176">
          <cell r="C176">
            <v>235561</v>
          </cell>
          <cell r="D176">
            <v>241966</v>
          </cell>
          <cell r="E176">
            <v>1961313</v>
          </cell>
          <cell r="F176">
            <v>267915</v>
          </cell>
          <cell r="G176">
            <v>84123</v>
          </cell>
        </row>
        <row r="177">
          <cell r="C177">
            <v>235763</v>
          </cell>
          <cell r="D177">
            <v>242280</v>
          </cell>
          <cell r="E177">
            <v>1979696</v>
          </cell>
          <cell r="F177">
            <v>269101</v>
          </cell>
          <cell r="G177">
            <v>84128</v>
          </cell>
        </row>
        <row r="178">
          <cell r="C178">
            <v>236142</v>
          </cell>
          <cell r="D178">
            <v>242707</v>
          </cell>
          <cell r="E178">
            <v>2000807</v>
          </cell>
          <cell r="F178">
            <v>270108</v>
          </cell>
          <cell r="G178">
            <v>84146</v>
          </cell>
        </row>
        <row r="179">
          <cell r="C179">
            <v>236305</v>
          </cell>
          <cell r="D179">
            <v>243209</v>
          </cell>
          <cell r="E179">
            <v>2023973</v>
          </cell>
          <cell r="F179">
            <v>271162</v>
          </cell>
          <cell r="G179">
            <v>84154</v>
          </cell>
        </row>
        <row r="180">
          <cell r="C180">
            <v>236651</v>
          </cell>
          <cell r="D180">
            <v>243605</v>
          </cell>
          <cell r="E180">
            <v>2048801</v>
          </cell>
          <cell r="F180">
            <v>272050</v>
          </cell>
          <cell r="G180">
            <v>84159</v>
          </cell>
        </row>
        <row r="181">
          <cell r="C181">
            <v>236989</v>
          </cell>
          <cell r="D181">
            <v>243928</v>
          </cell>
          <cell r="E181">
            <v>2074013</v>
          </cell>
          <cell r="F181">
            <v>272857</v>
          </cell>
          <cell r="G181">
            <v>84160</v>
          </cell>
        </row>
        <row r="182">
          <cell r="C182">
            <v>237290</v>
          </cell>
          <cell r="D182">
            <v>244109</v>
          </cell>
          <cell r="E182">
            <v>2092954</v>
          </cell>
          <cell r="F182">
            <v>273888</v>
          </cell>
          <cell r="G182">
            <v>84171</v>
          </cell>
        </row>
        <row r="183">
          <cell r="C183">
            <v>237500</v>
          </cell>
          <cell r="D183">
            <v>244328</v>
          </cell>
          <cell r="E183">
            <v>2112781</v>
          </cell>
          <cell r="F183">
            <v>274971</v>
          </cell>
          <cell r="G183">
            <v>84177</v>
          </cell>
        </row>
        <row r="184">
          <cell r="C184">
            <v>237828</v>
          </cell>
          <cell r="D184">
            <v>244683</v>
          </cell>
          <cell r="E184">
            <v>2136448</v>
          </cell>
          <cell r="F184">
            <v>275970</v>
          </cell>
          <cell r="G184">
            <v>84186</v>
          </cell>
        </row>
        <row r="185">
          <cell r="C185">
            <v>238159</v>
          </cell>
          <cell r="D185">
            <v>245268</v>
          </cell>
          <cell r="E185">
            <v>2163520</v>
          </cell>
          <cell r="F185">
            <v>276990</v>
          </cell>
          <cell r="G185">
            <v>84191</v>
          </cell>
        </row>
        <row r="186">
          <cell r="C186">
            <v>238011</v>
          </cell>
          <cell r="D186">
            <v>245575</v>
          </cell>
          <cell r="E186">
            <v>2192057</v>
          </cell>
          <cell r="F186">
            <v>277974</v>
          </cell>
          <cell r="G186">
            <v>84195</v>
          </cell>
        </row>
        <row r="187">
          <cell r="C187">
            <v>238275</v>
          </cell>
          <cell r="D187">
            <v>245938</v>
          </cell>
          <cell r="E187">
            <v>2223601</v>
          </cell>
          <cell r="F187">
            <v>278640</v>
          </cell>
          <cell r="G187">
            <v>84198</v>
          </cell>
        </row>
        <row r="188">
          <cell r="C188">
            <v>238499</v>
          </cell>
          <cell r="D188">
            <v>246272</v>
          </cell>
          <cell r="E188">
            <v>2255881</v>
          </cell>
          <cell r="F188">
            <v>279264</v>
          </cell>
          <cell r="G188">
            <v>84209</v>
          </cell>
        </row>
        <row r="189">
          <cell r="C189">
            <v>238720</v>
          </cell>
          <cell r="D189">
            <v>246504</v>
          </cell>
          <cell r="E189">
            <v>2281031</v>
          </cell>
          <cell r="F189">
            <v>280156</v>
          </cell>
          <cell r="G189">
            <v>84216</v>
          </cell>
        </row>
        <row r="190">
          <cell r="C190">
            <v>238833</v>
          </cell>
          <cell r="D190">
            <v>246752</v>
          </cell>
          <cell r="E190">
            <v>2313175</v>
          </cell>
          <cell r="F190">
            <v>281038</v>
          </cell>
          <cell r="G190">
            <v>84228</v>
          </cell>
        </row>
        <row r="191">
          <cell r="C191">
            <v>239410</v>
          </cell>
          <cell r="D191">
            <v>247086</v>
          </cell>
          <cell r="E191">
            <v>2350247</v>
          </cell>
          <cell r="F191">
            <v>281815</v>
          </cell>
          <cell r="G191">
            <v>84286</v>
          </cell>
        </row>
        <row r="192">
          <cell r="C192">
            <v>239706</v>
          </cell>
          <cell r="D192">
            <v>247486</v>
          </cell>
          <cell r="E192">
            <v>2386125</v>
          </cell>
          <cell r="F192">
            <v>282512</v>
          </cell>
          <cell r="G192">
            <v>84335</v>
          </cell>
        </row>
        <row r="193">
          <cell r="C193">
            <v>239961</v>
          </cell>
          <cell r="D193">
            <v>247905</v>
          </cell>
          <cell r="E193">
            <v>2426451</v>
          </cell>
          <cell r="F193">
            <v>283151</v>
          </cell>
          <cell r="G193">
            <v>84378</v>
          </cell>
        </row>
        <row r="194">
          <cell r="C194">
            <v>240136</v>
          </cell>
          <cell r="D194">
            <v>248469</v>
          </cell>
          <cell r="E194">
            <v>2472450</v>
          </cell>
          <cell r="F194">
            <v>283785</v>
          </cell>
          <cell r="G194">
            <v>84422</v>
          </cell>
        </row>
        <row r="195">
          <cell r="C195">
            <v>240310</v>
          </cell>
          <cell r="D195">
            <v>248770</v>
          </cell>
          <cell r="E195">
            <v>2513780</v>
          </cell>
          <cell r="F195">
            <v>284192</v>
          </cell>
          <cell r="G195">
            <v>84458</v>
          </cell>
        </row>
        <row r="196">
          <cell r="C196">
            <v>240436</v>
          </cell>
          <cell r="D196">
            <v>248970</v>
          </cell>
          <cell r="E196">
            <v>2554514</v>
          </cell>
          <cell r="F196">
            <v>284812</v>
          </cell>
          <cell r="G196">
            <v>84494</v>
          </cell>
        </row>
        <row r="197">
          <cell r="C197">
            <v>240578</v>
          </cell>
          <cell r="D197">
            <v>249271</v>
          </cell>
          <cell r="E197">
            <v>2595813</v>
          </cell>
          <cell r="F197">
            <v>285216</v>
          </cell>
          <cell r="G197">
            <v>84494</v>
          </cell>
        </row>
        <row r="198">
          <cell r="C198">
            <v>240760</v>
          </cell>
          <cell r="D198">
            <v>249659</v>
          </cell>
          <cell r="E198">
            <v>2642233</v>
          </cell>
          <cell r="F198">
            <v>285279</v>
          </cell>
          <cell r="G198">
            <v>84551</v>
          </cell>
        </row>
        <row r="199">
          <cell r="C199">
            <v>240961</v>
          </cell>
          <cell r="D199">
            <v>250103</v>
          </cell>
          <cell r="E199">
            <v>2694053</v>
          </cell>
          <cell r="F199">
            <v>285285</v>
          </cell>
          <cell r="G199">
            <v>84572</v>
          </cell>
        </row>
        <row r="200">
          <cell r="C200">
            <v>241184</v>
          </cell>
          <cell r="D200">
            <v>250545</v>
          </cell>
          <cell r="E200">
            <v>2750689</v>
          </cell>
          <cell r="F200">
            <v>285787</v>
          </cell>
          <cell r="G200">
            <v>84624</v>
          </cell>
        </row>
        <row r="201">
          <cell r="C201">
            <v>241419</v>
          </cell>
          <cell r="D201">
            <v>250545</v>
          </cell>
          <cell r="E201">
            <v>2802040</v>
          </cell>
          <cell r="F201">
            <v>286412</v>
          </cell>
          <cell r="G201">
            <v>84652</v>
          </cell>
        </row>
        <row r="202">
          <cell r="C202">
            <v>241611</v>
          </cell>
          <cell r="D202">
            <v>250545</v>
          </cell>
          <cell r="E202">
            <v>2847733</v>
          </cell>
          <cell r="F202">
            <v>286931</v>
          </cell>
          <cell r="G202">
            <v>84673</v>
          </cell>
        </row>
        <row r="203">
          <cell r="C203">
            <v>241819</v>
          </cell>
          <cell r="D203">
            <v>251789</v>
          </cell>
          <cell r="E203">
            <v>2898480</v>
          </cell>
          <cell r="F203">
            <v>286932</v>
          </cell>
          <cell r="G203">
            <v>84701</v>
          </cell>
        </row>
        <row r="204">
          <cell r="C204">
            <v>241956</v>
          </cell>
          <cell r="D204">
            <v>252130</v>
          </cell>
          <cell r="E204">
            <v>2941586</v>
          </cell>
          <cell r="F204">
            <v>287874</v>
          </cell>
          <cell r="G204">
            <v>84725</v>
          </cell>
        </row>
        <row r="205">
          <cell r="C205">
            <v>242149</v>
          </cell>
          <cell r="D205">
            <v>252513</v>
          </cell>
          <cell r="E205">
            <v>3002247</v>
          </cell>
          <cell r="F205">
            <v>288511</v>
          </cell>
          <cell r="G205">
            <v>84743</v>
          </cell>
        </row>
        <row r="206">
          <cell r="C206">
            <v>242363</v>
          </cell>
          <cell r="D206">
            <v>253056</v>
          </cell>
          <cell r="E206">
            <v>3062366</v>
          </cell>
          <cell r="F206">
            <v>289154</v>
          </cell>
          <cell r="G206">
            <v>84757</v>
          </cell>
        </row>
        <row r="207">
          <cell r="C207">
            <v>242639</v>
          </cell>
          <cell r="D207">
            <v>253908</v>
          </cell>
          <cell r="E207">
            <v>3124875</v>
          </cell>
          <cell r="F207">
            <v>289678</v>
          </cell>
          <cell r="G207">
            <v>84780</v>
          </cell>
        </row>
        <row r="208">
          <cell r="C208">
            <v>242827</v>
          </cell>
          <cell r="D208">
            <v>253908</v>
          </cell>
          <cell r="E208">
            <v>3192932</v>
          </cell>
          <cell r="F208">
            <v>290504</v>
          </cell>
          <cell r="G208">
            <v>84785</v>
          </cell>
        </row>
        <row r="209">
          <cell r="C209">
            <v>243061</v>
          </cell>
          <cell r="D209">
            <v>253908</v>
          </cell>
          <cell r="E209">
            <v>3252949</v>
          </cell>
          <cell r="F209">
            <v>291154</v>
          </cell>
          <cell r="G209">
            <v>84816</v>
          </cell>
        </row>
        <row r="210">
          <cell r="C210">
            <v>243230</v>
          </cell>
          <cell r="D210">
            <v>255953</v>
          </cell>
          <cell r="E210">
            <v>3311373</v>
          </cell>
          <cell r="F210">
            <v>291691</v>
          </cell>
          <cell r="G210">
            <v>84830</v>
          </cell>
        </row>
        <row r="211">
          <cell r="C211">
            <v>243344</v>
          </cell>
          <cell r="D211">
            <v>256619</v>
          </cell>
          <cell r="E211">
            <v>3370303</v>
          </cell>
          <cell r="F211">
            <v>292931</v>
          </cell>
          <cell r="G211">
            <v>84838</v>
          </cell>
        </row>
        <row r="212">
          <cell r="C212">
            <v>243506</v>
          </cell>
          <cell r="D212">
            <v>257494</v>
          </cell>
          <cell r="E212">
            <v>3438354</v>
          </cell>
          <cell r="F212">
            <v>293469</v>
          </cell>
          <cell r="G212">
            <v>84857</v>
          </cell>
        </row>
        <row r="213">
          <cell r="C213">
            <v>243736</v>
          </cell>
          <cell r="D213">
            <v>258855</v>
          </cell>
          <cell r="E213">
            <v>3506444</v>
          </cell>
          <cell r="F213">
            <v>294116</v>
          </cell>
          <cell r="G213">
            <v>84871</v>
          </cell>
        </row>
        <row r="214">
          <cell r="C214">
            <v>243967</v>
          </cell>
          <cell r="D214">
            <v>260255</v>
          </cell>
          <cell r="E214">
            <v>3582310</v>
          </cell>
          <cell r="F214">
            <v>294803</v>
          </cell>
          <cell r="G214">
            <v>84889</v>
          </cell>
        </row>
        <row r="215">
          <cell r="C215">
            <v>244216</v>
          </cell>
          <cell r="D215">
            <v>260255</v>
          </cell>
          <cell r="E215">
            <v>3654546</v>
          </cell>
          <cell r="F215">
            <v>295632</v>
          </cell>
          <cell r="G215">
            <v>84917</v>
          </cell>
        </row>
        <row r="216">
          <cell r="C216">
            <v>244434</v>
          </cell>
          <cell r="D216">
            <v>260255</v>
          </cell>
          <cell r="E216">
            <v>3717082</v>
          </cell>
          <cell r="F216">
            <v>296358</v>
          </cell>
          <cell r="G216">
            <v>84950</v>
          </cell>
        </row>
        <row r="217">
          <cell r="C217">
            <v>244624</v>
          </cell>
          <cell r="D217">
            <v>264836</v>
          </cell>
          <cell r="E217">
            <v>3777538</v>
          </cell>
          <cell r="F217">
            <v>296944</v>
          </cell>
          <cell r="G217">
            <v>84992</v>
          </cell>
        </row>
        <row r="218">
          <cell r="C218">
            <v>244752</v>
          </cell>
          <cell r="D218">
            <v>266194</v>
          </cell>
          <cell r="E218">
            <v>3839645</v>
          </cell>
          <cell r="F218">
            <v>297389</v>
          </cell>
          <cell r="G218">
            <v>84992</v>
          </cell>
        </row>
        <row r="219">
          <cell r="C219">
            <v>245032</v>
          </cell>
          <cell r="D219">
            <v>267551</v>
          </cell>
          <cell r="E219">
            <v>3904106</v>
          </cell>
          <cell r="F219">
            <v>297952</v>
          </cell>
          <cell r="G219">
            <v>85071</v>
          </cell>
        </row>
        <row r="220">
          <cell r="C220">
            <v>245338</v>
          </cell>
          <cell r="D220">
            <v>270166</v>
          </cell>
          <cell r="E220">
            <v>3974685</v>
          </cell>
          <cell r="F220">
            <v>298731</v>
          </cell>
          <cell r="G220">
            <v>85117</v>
          </cell>
        </row>
        <row r="221">
          <cell r="C221">
            <v>245590</v>
          </cell>
          <cell r="D221">
            <v>272421</v>
          </cell>
          <cell r="E221">
            <v>4043130</v>
          </cell>
          <cell r="F221">
            <v>299500</v>
          </cell>
          <cell r="G221">
            <v>85169</v>
          </cell>
        </row>
        <row r="222">
          <cell r="C222">
            <v>245864</v>
          </cell>
          <cell r="D222">
            <v>272421</v>
          </cell>
          <cell r="E222">
            <v>4116449</v>
          </cell>
          <cell r="F222">
            <v>300270</v>
          </cell>
          <cell r="G222">
            <v>85226</v>
          </cell>
        </row>
        <row r="223">
          <cell r="C223">
            <v>245864</v>
          </cell>
          <cell r="D223">
            <v>272421</v>
          </cell>
          <cell r="E223">
            <v>4181402</v>
          </cell>
          <cell r="F223">
            <v>301020</v>
          </cell>
          <cell r="G223">
            <v>85246</v>
          </cell>
        </row>
        <row r="224">
          <cell r="C224">
            <v>246286</v>
          </cell>
          <cell r="D224">
            <v>272421</v>
          </cell>
          <cell r="E224">
            <v>4236218</v>
          </cell>
          <cell r="F224">
            <v>301708</v>
          </cell>
          <cell r="G224">
            <v>85327</v>
          </cell>
        </row>
        <row r="225">
          <cell r="C225">
            <v>246488</v>
          </cell>
          <cell r="D225">
            <v>280610</v>
          </cell>
          <cell r="E225">
            <v>4293001</v>
          </cell>
          <cell r="F225">
            <v>302261</v>
          </cell>
          <cell r="G225">
            <v>85402</v>
          </cell>
        </row>
        <row r="226">
          <cell r="C226">
            <v>246776</v>
          </cell>
          <cell r="D226">
            <v>280610</v>
          </cell>
          <cell r="E226">
            <v>4359413</v>
          </cell>
          <cell r="F226">
            <v>303063</v>
          </cell>
          <cell r="G226">
            <v>85482</v>
          </cell>
        </row>
        <row r="227">
          <cell r="C227">
            <v>247158</v>
          </cell>
          <cell r="D227">
            <v>282641</v>
          </cell>
          <cell r="E227">
            <v>4431286</v>
          </cell>
          <cell r="F227">
            <v>303910</v>
          </cell>
          <cell r="G227">
            <v>85611</v>
          </cell>
        </row>
        <row r="228">
          <cell r="C228">
            <v>247537</v>
          </cell>
          <cell r="D228">
            <v>288522</v>
          </cell>
          <cell r="E228">
            <v>4498752</v>
          </cell>
          <cell r="F228">
            <v>304793</v>
          </cell>
          <cell r="G228">
            <v>85695</v>
          </cell>
        </row>
        <row r="229">
          <cell r="C229">
            <v>247832</v>
          </cell>
          <cell r="D229">
            <v>288522</v>
          </cell>
          <cell r="E229">
            <v>4567464</v>
          </cell>
          <cell r="F229">
            <v>305562</v>
          </cell>
          <cell r="G229">
            <v>85708</v>
          </cell>
        </row>
        <row r="230">
          <cell r="C230">
            <v>248070</v>
          </cell>
          <cell r="D230">
            <v>288522</v>
          </cell>
          <cell r="E230">
            <v>4623665</v>
          </cell>
          <cell r="F230">
            <v>306309</v>
          </cell>
          <cell r="G230">
            <v>85903</v>
          </cell>
        </row>
        <row r="231">
          <cell r="C231">
            <v>248229</v>
          </cell>
          <cell r="D231">
            <v>297054</v>
          </cell>
          <cell r="E231">
            <v>4669233</v>
          </cell>
          <cell r="F231">
            <v>307251</v>
          </cell>
          <cell r="G231">
            <v>86046</v>
          </cell>
        </row>
        <row r="232">
          <cell r="C232">
            <v>248419</v>
          </cell>
          <cell r="D232">
            <v>302814</v>
          </cell>
          <cell r="E232">
            <v>4714734</v>
          </cell>
          <cell r="F232">
            <v>307256</v>
          </cell>
          <cell r="G232">
            <v>86202</v>
          </cell>
        </row>
        <row r="233">
          <cell r="C233">
            <v>248803</v>
          </cell>
          <cell r="D233">
            <v>305767</v>
          </cell>
          <cell r="E233">
            <v>4773508</v>
          </cell>
          <cell r="F233">
            <v>307271</v>
          </cell>
          <cell r="G233">
            <v>86381</v>
          </cell>
        </row>
        <row r="234">
          <cell r="C234">
            <v>249204</v>
          </cell>
          <cell r="D234">
            <v>309855</v>
          </cell>
          <cell r="E234">
            <v>4827974</v>
          </cell>
          <cell r="F234">
            <v>309796</v>
          </cell>
          <cell r="G234">
            <v>86570</v>
          </cell>
        </row>
        <row r="235">
          <cell r="C235">
            <v>249756</v>
          </cell>
          <cell r="D235">
            <v>314362</v>
          </cell>
          <cell r="E235">
            <v>4887323</v>
          </cell>
          <cell r="F235">
            <v>310696</v>
          </cell>
          <cell r="G235">
            <v>86783</v>
          </cell>
        </row>
        <row r="236">
          <cell r="C236">
            <v>250103</v>
          </cell>
          <cell r="D236">
            <v>314362</v>
          </cell>
          <cell r="E236">
            <v>4946626</v>
          </cell>
          <cell r="F236">
            <v>311461</v>
          </cell>
          <cell r="G236">
            <v>86990</v>
          </cell>
        </row>
        <row r="237">
          <cell r="C237">
            <v>250566</v>
          </cell>
          <cell r="D237">
            <v>314362</v>
          </cell>
          <cell r="E237">
            <v>5000760</v>
          </cell>
          <cell r="F237">
            <v>312574</v>
          </cell>
          <cell r="G237">
            <v>87213</v>
          </cell>
        </row>
        <row r="238">
          <cell r="C238">
            <v>250825</v>
          </cell>
          <cell r="D238">
            <v>322980</v>
          </cell>
          <cell r="E238">
            <v>5046529</v>
          </cell>
          <cell r="F238">
            <v>313392</v>
          </cell>
          <cell r="G238">
            <v>87489</v>
          </cell>
        </row>
        <row r="239">
          <cell r="C239">
            <v>251237</v>
          </cell>
          <cell r="D239">
            <v>326612</v>
          </cell>
          <cell r="E239">
            <v>5094135</v>
          </cell>
          <cell r="F239">
            <v>313394</v>
          </cell>
          <cell r="G239">
            <v>87655</v>
          </cell>
        </row>
        <row r="240">
          <cell r="C240">
            <v>251713</v>
          </cell>
          <cell r="D240">
            <v>329784</v>
          </cell>
          <cell r="E240">
            <v>5142138</v>
          </cell>
          <cell r="F240">
            <v>315581</v>
          </cell>
          <cell r="G240">
            <v>87827</v>
          </cell>
        </row>
        <row r="241">
          <cell r="C241">
            <v>252235</v>
          </cell>
          <cell r="D241">
            <v>337334</v>
          </cell>
          <cell r="E241">
            <v>5198178</v>
          </cell>
          <cell r="F241">
            <v>315600</v>
          </cell>
          <cell r="G241">
            <v>87985</v>
          </cell>
        </row>
        <row r="242">
          <cell r="C242">
            <v>252809</v>
          </cell>
          <cell r="D242">
            <v>342813</v>
          </cell>
          <cell r="E242">
            <v>5249494</v>
          </cell>
          <cell r="F242">
            <v>315621</v>
          </cell>
          <cell r="G242">
            <v>88099</v>
          </cell>
        </row>
        <row r="243">
          <cell r="C243">
            <v>253438</v>
          </cell>
          <cell r="D243">
            <v>342813</v>
          </cell>
          <cell r="E243">
            <v>5314830</v>
          </cell>
          <cell r="F243">
            <v>319232</v>
          </cell>
          <cell r="G243">
            <v>88206</v>
          </cell>
        </row>
        <row r="244">
          <cell r="C244">
            <v>253915</v>
          </cell>
          <cell r="D244">
            <v>342813</v>
          </cell>
          <cell r="E244">
            <v>5361781</v>
          </cell>
          <cell r="F244">
            <v>320343</v>
          </cell>
          <cell r="G244">
            <v>88328</v>
          </cell>
        </row>
        <row r="245">
          <cell r="C245">
            <v>254235</v>
          </cell>
          <cell r="D245">
            <v>359082</v>
          </cell>
          <cell r="E245">
            <v>5400993</v>
          </cell>
          <cell r="F245">
            <v>321064</v>
          </cell>
          <cell r="G245">
            <v>88460</v>
          </cell>
        </row>
        <row r="246">
          <cell r="C246">
            <v>254636</v>
          </cell>
          <cell r="D246">
            <v>364196</v>
          </cell>
          <cell r="E246">
            <v>5437645</v>
          </cell>
          <cell r="F246">
            <v>322177</v>
          </cell>
          <cell r="G246">
            <v>88580</v>
          </cell>
        </row>
        <row r="247">
          <cell r="C247">
            <v>255278</v>
          </cell>
          <cell r="D247">
            <v>370867</v>
          </cell>
          <cell r="E247">
            <v>5482678</v>
          </cell>
          <cell r="F247">
            <v>323008</v>
          </cell>
          <cell r="G247">
            <v>88672</v>
          </cell>
        </row>
        <row r="248">
          <cell r="C248">
            <v>256118</v>
          </cell>
          <cell r="D248">
            <v>377906</v>
          </cell>
          <cell r="E248">
            <v>5529998</v>
          </cell>
          <cell r="F248">
            <v>324196</v>
          </cell>
          <cell r="G248">
            <v>88793</v>
          </cell>
        </row>
        <row r="249">
          <cell r="C249">
            <v>257065</v>
          </cell>
          <cell r="D249">
            <v>386054</v>
          </cell>
          <cell r="E249">
            <v>5574039</v>
          </cell>
          <cell r="F249">
            <v>325250</v>
          </cell>
          <cell r="G249">
            <v>88906</v>
          </cell>
        </row>
        <row r="250">
          <cell r="C250">
            <v>258136</v>
          </cell>
          <cell r="D250">
            <v>386054</v>
          </cell>
          <cell r="E250">
            <v>5622882</v>
          </cell>
          <cell r="F250">
            <v>326595</v>
          </cell>
          <cell r="G250">
            <v>88958</v>
          </cell>
        </row>
        <row r="251">
          <cell r="C251">
            <v>259345</v>
          </cell>
          <cell r="D251">
            <v>386054</v>
          </cell>
          <cell r="E251">
            <v>5665946</v>
          </cell>
          <cell r="F251">
            <v>327643</v>
          </cell>
          <cell r="G251">
            <v>89045</v>
          </cell>
        </row>
        <row r="252">
          <cell r="C252">
            <v>260298</v>
          </cell>
          <cell r="D252">
            <v>405436</v>
          </cell>
          <cell r="E252">
            <v>5700193</v>
          </cell>
          <cell r="F252">
            <v>328620</v>
          </cell>
          <cell r="G252">
            <v>89144</v>
          </cell>
        </row>
        <row r="253">
          <cell r="C253">
            <v>261174</v>
          </cell>
          <cell r="D253">
            <v>412553</v>
          </cell>
          <cell r="E253">
            <v>5736675</v>
          </cell>
          <cell r="F253">
            <v>329821</v>
          </cell>
          <cell r="G253">
            <v>89214</v>
          </cell>
        </row>
        <row r="254">
          <cell r="C254">
            <v>262540</v>
          </cell>
          <cell r="D254">
            <v>419849</v>
          </cell>
          <cell r="E254">
            <v>5777029</v>
          </cell>
          <cell r="F254">
            <v>330967</v>
          </cell>
          <cell r="G254">
            <v>89279</v>
          </cell>
        </row>
        <row r="255">
          <cell r="C255">
            <v>263949</v>
          </cell>
          <cell r="D255">
            <v>429507</v>
          </cell>
          <cell r="E255">
            <v>5822201</v>
          </cell>
          <cell r="F255">
            <v>332509</v>
          </cell>
          <cell r="G255">
            <v>89375</v>
          </cell>
        </row>
        <row r="256">
          <cell r="C256">
            <v>265409</v>
          </cell>
          <cell r="D256">
            <v>439286</v>
          </cell>
          <cell r="E256">
            <v>5867594</v>
          </cell>
          <cell r="F256">
            <v>333798</v>
          </cell>
          <cell r="G256">
            <v>89441</v>
          </cell>
        </row>
        <row r="257">
          <cell r="C257">
            <v>266853</v>
          </cell>
          <cell r="D257">
            <v>439286</v>
          </cell>
          <cell r="E257">
            <v>5914426</v>
          </cell>
          <cell r="F257">
            <v>334916</v>
          </cell>
          <cell r="G257">
            <v>89494</v>
          </cell>
        </row>
        <row r="258">
          <cell r="C258">
            <v>268218</v>
          </cell>
          <cell r="D258">
            <v>439286</v>
          </cell>
          <cell r="E258">
            <v>5957180</v>
          </cell>
          <cell r="F258">
            <v>336668</v>
          </cell>
          <cell r="G258">
            <v>89527</v>
          </cell>
        </row>
        <row r="259">
          <cell r="C259">
            <v>269214</v>
          </cell>
          <cell r="D259">
            <v>462858</v>
          </cell>
          <cell r="E259">
            <v>5991584</v>
          </cell>
          <cell r="F259">
            <v>338082</v>
          </cell>
          <cell r="G259">
            <v>89567</v>
          </cell>
        </row>
        <row r="260">
          <cell r="C260">
            <v>270189</v>
          </cell>
          <cell r="D260">
            <v>470973</v>
          </cell>
          <cell r="E260">
            <v>6026946</v>
          </cell>
          <cell r="F260">
            <v>339385</v>
          </cell>
          <cell r="G260">
            <v>89616</v>
          </cell>
        </row>
        <row r="261">
          <cell r="C261">
            <v>271515</v>
          </cell>
          <cell r="D261">
            <v>479554</v>
          </cell>
          <cell r="E261">
            <v>6068792</v>
          </cell>
          <cell r="F261">
            <v>340929</v>
          </cell>
          <cell r="G261">
            <v>89654</v>
          </cell>
        </row>
        <row r="262">
          <cell r="C262">
            <v>272912</v>
          </cell>
          <cell r="D262">
            <v>488513</v>
          </cell>
          <cell r="E262">
            <v>6109810</v>
          </cell>
          <cell r="F262">
            <v>342708</v>
          </cell>
          <cell r="G262">
            <v>89695</v>
          </cell>
        </row>
        <row r="263">
          <cell r="C263">
            <v>274644</v>
          </cell>
          <cell r="D263">
            <v>498989</v>
          </cell>
          <cell r="E263">
            <v>6154061</v>
          </cell>
          <cell r="F263">
            <v>344686</v>
          </cell>
          <cell r="G263">
            <v>89718</v>
          </cell>
        </row>
        <row r="264">
          <cell r="C264">
            <v>276338</v>
          </cell>
          <cell r="D264">
            <v>498989</v>
          </cell>
          <cell r="E264">
            <v>6204443</v>
          </cell>
          <cell r="F264">
            <v>346506</v>
          </cell>
          <cell r="G264">
            <v>89752</v>
          </cell>
        </row>
        <row r="265">
          <cell r="C265">
            <v>277634</v>
          </cell>
          <cell r="D265">
            <v>498989</v>
          </cell>
          <cell r="E265">
            <v>6247601</v>
          </cell>
          <cell r="F265">
            <v>349500</v>
          </cell>
          <cell r="G265">
            <v>89784</v>
          </cell>
        </row>
        <row r="266">
          <cell r="C266">
            <v>278784</v>
          </cell>
          <cell r="D266">
            <v>525549</v>
          </cell>
          <cell r="E266">
            <v>6278819</v>
          </cell>
          <cell r="F266">
            <v>352451</v>
          </cell>
          <cell r="G266">
            <v>89814</v>
          </cell>
        </row>
        <row r="267">
          <cell r="C267">
            <v>280153</v>
          </cell>
          <cell r="D267">
            <v>534513</v>
          </cell>
          <cell r="E267">
            <v>6302432</v>
          </cell>
          <cell r="F267">
            <v>354932</v>
          </cell>
          <cell r="G267">
            <v>89836</v>
          </cell>
        </row>
        <row r="268">
          <cell r="C268">
            <v>281583</v>
          </cell>
          <cell r="D268">
            <v>543379</v>
          </cell>
          <cell r="E268">
            <v>6329658</v>
          </cell>
          <cell r="F268">
            <v>357613</v>
          </cell>
          <cell r="G268">
            <v>89863</v>
          </cell>
        </row>
        <row r="269">
          <cell r="C269">
            <v>283180</v>
          </cell>
          <cell r="D269">
            <v>554143</v>
          </cell>
          <cell r="E269">
            <v>6363707</v>
          </cell>
          <cell r="F269">
            <v>360534</v>
          </cell>
          <cell r="G269">
            <v>89895</v>
          </cell>
        </row>
        <row r="270">
          <cell r="C270">
            <v>284796</v>
          </cell>
          <cell r="D270">
            <v>566326</v>
          </cell>
          <cell r="E270">
            <v>6399763</v>
          </cell>
          <cell r="F270">
            <v>364085</v>
          </cell>
          <cell r="G270">
            <v>89914</v>
          </cell>
        </row>
        <row r="271">
          <cell r="C271">
            <v>286297</v>
          </cell>
          <cell r="D271">
            <v>566326</v>
          </cell>
          <cell r="E271">
            <v>6447532</v>
          </cell>
          <cell r="F271">
            <v>367592</v>
          </cell>
          <cell r="G271">
            <v>89933</v>
          </cell>
        </row>
        <row r="272">
          <cell r="C272">
            <v>287753</v>
          </cell>
          <cell r="D272">
            <v>566326</v>
          </cell>
          <cell r="E272">
            <v>6488633</v>
          </cell>
          <cell r="F272">
            <v>370930</v>
          </cell>
          <cell r="G272">
            <v>89953</v>
          </cell>
        </row>
        <row r="273">
          <cell r="C273">
            <v>288761</v>
          </cell>
          <cell r="D273">
            <v>593730</v>
          </cell>
          <cell r="E273">
            <v>6523005</v>
          </cell>
          <cell r="F273">
            <v>373555</v>
          </cell>
          <cell r="G273">
            <v>89986</v>
          </cell>
        </row>
        <row r="274">
          <cell r="C274">
            <v>289990</v>
          </cell>
          <cell r="D274">
            <v>603167</v>
          </cell>
          <cell r="E274">
            <v>6557428</v>
          </cell>
          <cell r="F274">
            <v>376668</v>
          </cell>
          <cell r="G274">
            <v>90008</v>
          </cell>
        </row>
        <row r="275">
          <cell r="C275">
            <v>291442</v>
          </cell>
          <cell r="D275">
            <v>614360</v>
          </cell>
          <cell r="E275">
            <v>6596920</v>
          </cell>
          <cell r="F275">
            <v>380677</v>
          </cell>
          <cell r="G275">
            <v>90025</v>
          </cell>
        </row>
        <row r="276">
          <cell r="C276">
            <v>293025</v>
          </cell>
          <cell r="D276">
            <v>625651</v>
          </cell>
          <cell r="E276">
            <v>6635950</v>
          </cell>
          <cell r="F276">
            <v>384087</v>
          </cell>
          <cell r="G276">
            <v>90058</v>
          </cell>
        </row>
        <row r="277">
          <cell r="C277">
            <v>294932</v>
          </cell>
          <cell r="D277">
            <v>640040</v>
          </cell>
          <cell r="E277">
            <v>6681080</v>
          </cell>
          <cell r="F277">
            <v>388416</v>
          </cell>
          <cell r="G277">
            <v>90078</v>
          </cell>
        </row>
        <row r="278">
          <cell r="C278">
            <v>296569</v>
          </cell>
          <cell r="D278">
            <v>640040</v>
          </cell>
          <cell r="E278">
            <v>6730362</v>
          </cell>
          <cell r="F278">
            <v>392845</v>
          </cell>
          <cell r="G278">
            <v>90087</v>
          </cell>
        </row>
        <row r="279">
          <cell r="C279">
            <v>298156</v>
          </cell>
          <cell r="D279">
            <v>640040</v>
          </cell>
          <cell r="E279">
            <v>6772564</v>
          </cell>
          <cell r="F279">
            <v>396744</v>
          </cell>
          <cell r="G279">
            <v>90100</v>
          </cell>
        </row>
        <row r="280">
          <cell r="C280">
            <v>299506</v>
          </cell>
          <cell r="D280">
            <v>671468</v>
          </cell>
          <cell r="E280">
            <v>6811011</v>
          </cell>
          <cell r="F280">
            <v>401122</v>
          </cell>
          <cell r="G280">
            <v>90127</v>
          </cell>
        </row>
        <row r="281">
          <cell r="C281">
            <v>300897</v>
          </cell>
          <cell r="D281">
            <v>682267</v>
          </cell>
          <cell r="E281">
            <v>6862889</v>
          </cell>
          <cell r="F281">
            <v>406058</v>
          </cell>
          <cell r="G281">
            <v>90143</v>
          </cell>
        </row>
        <row r="282">
          <cell r="C282">
            <v>302537</v>
          </cell>
          <cell r="D282">
            <v>693556</v>
          </cell>
          <cell r="E282">
            <v>6902755</v>
          </cell>
          <cell r="F282">
            <v>412245</v>
          </cell>
          <cell r="G282">
            <v>90168</v>
          </cell>
        </row>
        <row r="283">
          <cell r="C283">
            <v>304323</v>
          </cell>
          <cell r="D283">
            <v>704209</v>
          </cell>
          <cell r="E283">
            <v>6941824</v>
          </cell>
          <cell r="F283">
            <v>418889</v>
          </cell>
          <cell r="G283">
            <v>90197</v>
          </cell>
        </row>
        <row r="284">
          <cell r="C284">
            <v>306235</v>
          </cell>
          <cell r="D284">
            <v>716481</v>
          </cell>
          <cell r="E284">
            <v>6988927</v>
          </cell>
          <cell r="F284">
            <v>425767</v>
          </cell>
          <cell r="G284">
            <v>90219</v>
          </cell>
        </row>
        <row r="285">
          <cell r="C285">
            <v>308104</v>
          </cell>
          <cell r="D285">
            <v>716481</v>
          </cell>
          <cell r="E285">
            <v>7037222</v>
          </cell>
          <cell r="F285">
            <v>431817</v>
          </cell>
          <cell r="G285">
            <v>90235</v>
          </cell>
        </row>
        <row r="286">
          <cell r="C286">
            <v>309870</v>
          </cell>
          <cell r="D286">
            <v>716481</v>
          </cell>
          <cell r="E286">
            <v>7081895</v>
          </cell>
          <cell r="F286">
            <v>437517</v>
          </cell>
          <cell r="G286">
            <v>90253</v>
          </cell>
        </row>
        <row r="287">
          <cell r="C287">
            <v>311364</v>
          </cell>
          <cell r="D287">
            <v>748266</v>
          </cell>
          <cell r="E287">
            <v>7119423</v>
          </cell>
          <cell r="F287">
            <v>441573</v>
          </cell>
          <cell r="G287">
            <v>90294</v>
          </cell>
        </row>
        <row r="288">
          <cell r="C288">
            <v>313011</v>
          </cell>
          <cell r="D288">
            <v>748266</v>
          </cell>
          <cell r="E288">
            <v>7152717</v>
          </cell>
          <cell r="F288">
            <v>448729</v>
          </cell>
          <cell r="G288">
            <v>90311</v>
          </cell>
        </row>
        <row r="289">
          <cell r="C289">
            <v>314861</v>
          </cell>
          <cell r="D289">
            <v>769188</v>
          </cell>
          <cell r="E289">
            <v>7196055</v>
          </cell>
          <cell r="F289">
            <v>455846</v>
          </cell>
          <cell r="G289">
            <v>90334</v>
          </cell>
        </row>
        <row r="290">
          <cell r="C290">
            <v>317409</v>
          </cell>
          <cell r="D290">
            <v>778607</v>
          </cell>
          <cell r="E290">
            <v>7235498</v>
          </cell>
          <cell r="F290">
            <v>462775</v>
          </cell>
          <cell r="G290">
            <v>90369</v>
          </cell>
        </row>
        <row r="291">
          <cell r="C291">
            <v>319908</v>
          </cell>
          <cell r="D291">
            <v>789932</v>
          </cell>
          <cell r="E291">
            <v>7281148</v>
          </cell>
          <cell r="F291">
            <v>469769</v>
          </cell>
          <cell r="G291">
            <v>90381</v>
          </cell>
        </row>
        <row r="292">
          <cell r="C292">
            <v>322751</v>
          </cell>
          <cell r="D292">
            <v>789932</v>
          </cell>
          <cell r="E292">
            <v>7336098</v>
          </cell>
          <cell r="F292">
            <v>482654</v>
          </cell>
          <cell r="G292">
            <v>90399</v>
          </cell>
        </row>
        <row r="293">
          <cell r="C293">
            <v>325329</v>
          </cell>
          <cell r="D293">
            <v>789932</v>
          </cell>
          <cell r="E293">
            <v>7384675</v>
          </cell>
          <cell r="F293">
            <v>505619</v>
          </cell>
          <cell r="G293">
            <v>90409</v>
          </cell>
        </row>
        <row r="294">
          <cell r="C294">
            <v>327586</v>
          </cell>
          <cell r="D294">
            <v>813412</v>
          </cell>
          <cell r="E294">
            <v>7420413</v>
          </cell>
          <cell r="F294">
            <v>518222</v>
          </cell>
          <cell r="G294">
            <v>90424</v>
          </cell>
        </row>
        <row r="295">
          <cell r="C295">
            <v>330263</v>
          </cell>
          <cell r="D295">
            <v>825410</v>
          </cell>
          <cell r="E295">
            <v>7459789</v>
          </cell>
          <cell r="F295">
            <v>532779</v>
          </cell>
          <cell r="G295">
            <v>90441</v>
          </cell>
        </row>
        <row r="296">
          <cell r="C296">
            <v>333940</v>
          </cell>
          <cell r="D296">
            <v>835901</v>
          </cell>
          <cell r="E296">
            <v>7505078</v>
          </cell>
          <cell r="F296">
            <v>546952</v>
          </cell>
          <cell r="G296">
            <v>90456</v>
          </cell>
        </row>
        <row r="297">
          <cell r="C297">
            <v>338398</v>
          </cell>
          <cell r="D297">
            <v>848324</v>
          </cell>
          <cell r="E297">
            <v>7556134</v>
          </cell>
          <cell r="F297">
            <v>564502</v>
          </cell>
          <cell r="G297">
            <v>90483</v>
          </cell>
        </row>
        <row r="298">
          <cell r="C298">
            <v>343770</v>
          </cell>
          <cell r="D298">
            <v>861112</v>
          </cell>
          <cell r="E298">
            <v>7614733</v>
          </cell>
          <cell r="F298">
            <v>578390</v>
          </cell>
          <cell r="G298">
            <v>90505</v>
          </cell>
        </row>
        <row r="299">
          <cell r="C299">
            <v>349494</v>
          </cell>
          <cell r="D299">
            <v>861112</v>
          </cell>
          <cell r="E299">
            <v>7671117</v>
          </cell>
          <cell r="F299">
            <v>593565</v>
          </cell>
          <cell r="G299">
            <v>90528</v>
          </cell>
        </row>
        <row r="300">
          <cell r="C300">
            <v>354950</v>
          </cell>
          <cell r="D300">
            <v>861112</v>
          </cell>
          <cell r="E300">
            <v>7726070</v>
          </cell>
          <cell r="F300">
            <v>606447</v>
          </cell>
          <cell r="G300">
            <v>90545</v>
          </cell>
        </row>
        <row r="301">
          <cell r="C301">
            <v>359569</v>
          </cell>
          <cell r="D301">
            <v>888968</v>
          </cell>
          <cell r="E301">
            <v>7772051</v>
          </cell>
          <cell r="F301">
            <v>620458</v>
          </cell>
          <cell r="G301">
            <v>90567</v>
          </cell>
        </row>
        <row r="302">
          <cell r="C302">
            <v>365467</v>
          </cell>
          <cell r="D302">
            <v>896086</v>
          </cell>
          <cell r="E302">
            <v>7813825</v>
          </cell>
          <cell r="F302">
            <v>637708</v>
          </cell>
          <cell r="G302">
            <v>90584</v>
          </cell>
        </row>
        <row r="303">
          <cell r="C303">
            <v>372799</v>
          </cell>
          <cell r="D303">
            <v>908056</v>
          </cell>
          <cell r="E303">
            <v>7866056</v>
          </cell>
          <cell r="F303">
            <v>657459</v>
          </cell>
          <cell r="G303">
            <v>90604</v>
          </cell>
        </row>
        <row r="304">
          <cell r="C304">
            <v>381602</v>
          </cell>
          <cell r="D304">
            <v>921374</v>
          </cell>
          <cell r="E304">
            <v>7925834</v>
          </cell>
          <cell r="F304">
            <v>676455</v>
          </cell>
          <cell r="G304">
            <v>90629</v>
          </cell>
        </row>
        <row r="305">
          <cell r="C305">
            <v>391611</v>
          </cell>
          <cell r="D305">
            <v>936560</v>
          </cell>
          <cell r="E305">
            <v>7990714</v>
          </cell>
          <cell r="F305">
            <v>692112</v>
          </cell>
          <cell r="G305">
            <v>90652</v>
          </cell>
        </row>
        <row r="306">
          <cell r="C306">
            <v>402536</v>
          </cell>
          <cell r="D306">
            <v>936560</v>
          </cell>
          <cell r="E306">
            <v>8059861</v>
          </cell>
          <cell r="F306">
            <v>708298</v>
          </cell>
          <cell r="G306">
            <v>90667</v>
          </cell>
        </row>
        <row r="307">
          <cell r="C307">
            <v>414241</v>
          </cell>
          <cell r="D307">
            <v>936560</v>
          </cell>
          <cell r="E307">
            <v>8116620</v>
          </cell>
          <cell r="F307">
            <v>725292</v>
          </cell>
          <cell r="G307">
            <v>90687</v>
          </cell>
        </row>
        <row r="308">
          <cell r="C308">
            <v>423578</v>
          </cell>
          <cell r="D308">
            <v>974449</v>
          </cell>
          <cell r="E308">
            <v>8165987</v>
          </cell>
          <cell r="F308">
            <v>744122</v>
          </cell>
          <cell r="G308">
            <v>90728</v>
          </cell>
        </row>
        <row r="309">
          <cell r="C309">
            <v>434449</v>
          </cell>
          <cell r="D309">
            <v>988322</v>
          </cell>
          <cell r="E309">
            <v>8233704</v>
          </cell>
          <cell r="F309">
            <v>765487</v>
          </cell>
          <cell r="G309">
            <v>90751</v>
          </cell>
        </row>
        <row r="310">
          <cell r="C310">
            <v>449648</v>
          </cell>
          <cell r="D310">
            <v>1005295</v>
          </cell>
          <cell r="E310">
            <v>8295660</v>
          </cell>
          <cell r="F310">
            <v>792194</v>
          </cell>
          <cell r="G310">
            <v>90778</v>
          </cell>
        </row>
        <row r="311">
          <cell r="C311">
            <v>465726</v>
          </cell>
          <cell r="D311">
            <v>1026281</v>
          </cell>
          <cell r="E311">
            <v>8358961</v>
          </cell>
          <cell r="F311">
            <v>813451</v>
          </cell>
          <cell r="G311">
            <v>90806</v>
          </cell>
        </row>
        <row r="312">
          <cell r="C312">
            <v>484869</v>
          </cell>
          <cell r="D312">
            <v>1046132</v>
          </cell>
          <cell r="E312">
            <v>8435271</v>
          </cell>
          <cell r="F312">
            <v>834010</v>
          </cell>
          <cell r="G312">
            <v>90830</v>
          </cell>
        </row>
        <row r="313">
          <cell r="C313">
            <v>504509</v>
          </cell>
          <cell r="D313">
            <v>1046132</v>
          </cell>
          <cell r="E313">
            <v>8517204</v>
          </cell>
          <cell r="F313">
            <v>857043</v>
          </cell>
          <cell r="G313">
            <v>90858</v>
          </cell>
        </row>
        <row r="314">
          <cell r="C314">
            <v>525782</v>
          </cell>
          <cell r="D314">
            <v>1046132</v>
          </cell>
          <cell r="E314">
            <v>8599971</v>
          </cell>
          <cell r="F314">
            <v>876840</v>
          </cell>
          <cell r="G314">
            <v>90869</v>
          </cell>
        </row>
        <row r="315">
          <cell r="C315">
            <v>542789</v>
          </cell>
          <cell r="D315">
            <v>1098320</v>
          </cell>
          <cell r="E315">
            <v>8662175</v>
          </cell>
          <cell r="F315">
            <v>897740</v>
          </cell>
          <cell r="G315">
            <v>90905</v>
          </cell>
        </row>
        <row r="316">
          <cell r="C316">
            <v>564778</v>
          </cell>
          <cell r="D316">
            <v>1116738</v>
          </cell>
          <cell r="E316">
            <v>8729485</v>
          </cell>
          <cell r="F316">
            <v>920664</v>
          </cell>
          <cell r="G316">
            <v>90925</v>
          </cell>
        </row>
        <row r="317">
          <cell r="C317">
            <v>589766</v>
          </cell>
          <cell r="D317">
            <v>1136503</v>
          </cell>
          <cell r="E317">
            <v>8806323</v>
          </cell>
          <cell r="F317">
            <v>945378</v>
          </cell>
          <cell r="G317">
            <v>90955</v>
          </cell>
        </row>
        <row r="318">
          <cell r="C318">
            <v>616595</v>
          </cell>
          <cell r="D318">
            <v>1160083</v>
          </cell>
          <cell r="E318">
            <v>8885749</v>
          </cell>
          <cell r="F318">
            <v>968456</v>
          </cell>
          <cell r="G318">
            <v>90972</v>
          </cell>
        </row>
        <row r="319">
          <cell r="C319">
            <v>647674</v>
          </cell>
          <cell r="D319">
            <v>1185678</v>
          </cell>
          <cell r="E319">
            <v>8976768</v>
          </cell>
          <cell r="F319">
            <v>992874</v>
          </cell>
          <cell r="G319">
            <v>91006</v>
          </cell>
        </row>
        <row r="320">
          <cell r="C320">
            <v>679430</v>
          </cell>
          <cell r="D320">
            <v>1185678</v>
          </cell>
          <cell r="E320">
            <v>9076032</v>
          </cell>
          <cell r="F320">
            <v>1014793</v>
          </cell>
          <cell r="G320">
            <v>91022</v>
          </cell>
        </row>
        <row r="321">
          <cell r="C321">
            <v>709335</v>
          </cell>
          <cell r="D321">
            <v>1185678</v>
          </cell>
          <cell r="E321">
            <v>9165786</v>
          </cell>
          <cell r="F321">
            <v>1038054</v>
          </cell>
          <cell r="G321">
            <v>91044</v>
          </cell>
        </row>
        <row r="322">
          <cell r="C322">
            <v>731588</v>
          </cell>
          <cell r="D322">
            <v>1240697</v>
          </cell>
          <cell r="E322">
            <v>9270686</v>
          </cell>
          <cell r="F322">
            <v>1057021</v>
          </cell>
          <cell r="G322">
            <v>91073</v>
          </cell>
        </row>
        <row r="323">
          <cell r="C323">
            <v>759829</v>
          </cell>
          <cell r="D323">
            <v>1259366</v>
          </cell>
          <cell r="E323">
            <v>9355897</v>
          </cell>
          <cell r="F323">
            <v>1077099</v>
          </cell>
          <cell r="G323">
            <v>91108</v>
          </cell>
        </row>
        <row r="324">
          <cell r="C324">
            <v>790377</v>
          </cell>
          <cell r="D324">
            <v>1284408</v>
          </cell>
          <cell r="E324">
            <v>9483095</v>
          </cell>
          <cell r="F324">
            <v>1102305</v>
          </cell>
          <cell r="G324">
            <v>91113</v>
          </cell>
        </row>
        <row r="325">
          <cell r="C325">
            <v>824879</v>
          </cell>
          <cell r="D325">
            <v>1306316</v>
          </cell>
          <cell r="E325">
            <v>9587636</v>
          </cell>
          <cell r="F325">
            <v>1126469</v>
          </cell>
          <cell r="G325">
            <v>91151</v>
          </cell>
        </row>
        <row r="326">
          <cell r="C326">
            <v>862681</v>
          </cell>
          <cell r="D326">
            <v>1328832</v>
          </cell>
          <cell r="E326">
            <v>9717003</v>
          </cell>
          <cell r="F326">
            <v>1149791</v>
          </cell>
          <cell r="G326">
            <v>91175</v>
          </cell>
        </row>
        <row r="327">
          <cell r="C327">
            <v>902490</v>
          </cell>
          <cell r="D327">
            <v>1328832</v>
          </cell>
          <cell r="E327">
            <v>9845036</v>
          </cell>
          <cell r="F327">
            <v>1174770</v>
          </cell>
          <cell r="G327">
            <v>91222</v>
          </cell>
        </row>
        <row r="328">
          <cell r="C328">
            <v>935104</v>
          </cell>
          <cell r="D328">
            <v>1328832</v>
          </cell>
          <cell r="E328">
            <v>9972546</v>
          </cell>
          <cell r="F328">
            <v>1195350</v>
          </cell>
          <cell r="G328">
            <v>91271</v>
          </cell>
        </row>
        <row r="329">
          <cell r="C329">
            <v>960373</v>
          </cell>
          <cell r="D329">
            <v>1381218</v>
          </cell>
          <cell r="E329">
            <v>10087716</v>
          </cell>
          <cell r="F329">
            <v>1216747</v>
          </cell>
          <cell r="G329">
            <v>91299</v>
          </cell>
        </row>
        <row r="330">
          <cell r="C330">
            <v>995463</v>
          </cell>
          <cell r="D330">
            <v>1381218</v>
          </cell>
          <cell r="E330">
            <v>10208150</v>
          </cell>
          <cell r="F330">
            <v>1237198</v>
          </cell>
          <cell r="G330">
            <v>91339</v>
          </cell>
        </row>
        <row r="331">
          <cell r="C331">
            <v>1028424</v>
          </cell>
          <cell r="D331">
            <v>1417709</v>
          </cell>
          <cell r="E331">
            <v>10348654</v>
          </cell>
          <cell r="F331">
            <v>1260198</v>
          </cell>
          <cell r="G331">
            <v>91366</v>
          </cell>
        </row>
        <row r="332">
          <cell r="C332">
            <v>1066401</v>
          </cell>
          <cell r="D332">
            <v>1437220</v>
          </cell>
          <cell r="E332">
            <v>10495404</v>
          </cell>
          <cell r="F332">
            <v>1293715</v>
          </cell>
          <cell r="G332">
            <v>91397</v>
          </cell>
        </row>
        <row r="333">
          <cell r="C333">
            <v>1107303</v>
          </cell>
          <cell r="D333">
            <v>1458591</v>
          </cell>
          <cell r="E333">
            <v>10660154</v>
          </cell>
          <cell r="F333">
            <v>1321031</v>
          </cell>
          <cell r="G333">
            <v>91452</v>
          </cell>
        </row>
        <row r="334">
          <cell r="C334">
            <v>1144552</v>
          </cell>
          <cell r="D334">
            <v>1458591</v>
          </cell>
          <cell r="E334">
            <v>10840552</v>
          </cell>
          <cell r="F334">
            <v>1347907</v>
          </cell>
          <cell r="G334">
            <v>91478</v>
          </cell>
        </row>
        <row r="335">
          <cell r="C335">
            <v>1178529</v>
          </cell>
          <cell r="D335">
            <v>1458591</v>
          </cell>
          <cell r="E335">
            <v>11008478</v>
          </cell>
          <cell r="F335">
            <v>1372884</v>
          </cell>
          <cell r="G335">
            <v>91509</v>
          </cell>
        </row>
        <row r="336">
          <cell r="C336">
            <v>1205881</v>
          </cell>
          <cell r="D336">
            <v>1496864</v>
          </cell>
          <cell r="E336">
            <v>11144834</v>
          </cell>
          <cell r="F336">
            <v>1394299</v>
          </cell>
          <cell r="G336">
            <v>91552</v>
          </cell>
        </row>
        <row r="337">
          <cell r="C337">
            <v>1238072</v>
          </cell>
          <cell r="D337">
            <v>1510023</v>
          </cell>
          <cell r="E337">
            <v>11307458</v>
          </cell>
          <cell r="F337">
            <v>1414359</v>
          </cell>
          <cell r="G337">
            <v>91591</v>
          </cell>
        </row>
        <row r="338">
          <cell r="C338">
            <v>1272352</v>
          </cell>
          <cell r="D338">
            <v>1525341</v>
          </cell>
          <cell r="E338">
            <v>11471416</v>
          </cell>
          <cell r="F338">
            <v>1434004</v>
          </cell>
          <cell r="G338">
            <v>91622</v>
          </cell>
        </row>
        <row r="339">
          <cell r="C339">
            <v>1308528</v>
          </cell>
          <cell r="D339">
            <v>1541574</v>
          </cell>
          <cell r="E339">
            <v>11644667</v>
          </cell>
          <cell r="F339">
            <v>1456937</v>
          </cell>
          <cell r="G339">
            <v>91665</v>
          </cell>
        </row>
        <row r="340">
          <cell r="C340">
            <v>1345767</v>
          </cell>
          <cell r="D340">
            <v>1556730</v>
          </cell>
          <cell r="E340">
            <v>11836177</v>
          </cell>
          <cell r="F340">
            <v>1477214</v>
          </cell>
          <cell r="G340">
            <v>91693</v>
          </cell>
        </row>
        <row r="341">
          <cell r="C341">
            <v>1380531</v>
          </cell>
          <cell r="D341">
            <v>1556730</v>
          </cell>
          <cell r="E341">
            <v>12034510</v>
          </cell>
          <cell r="F341">
            <v>1497135</v>
          </cell>
          <cell r="G341">
            <v>91719</v>
          </cell>
        </row>
        <row r="342">
          <cell r="C342">
            <v>1408868</v>
          </cell>
          <cell r="D342">
            <v>1556730</v>
          </cell>
          <cell r="E342">
            <v>12213946</v>
          </cell>
          <cell r="F342">
            <v>1515802</v>
          </cell>
          <cell r="G342">
            <v>91752</v>
          </cell>
        </row>
        <row r="343">
          <cell r="C343">
            <v>1431795</v>
          </cell>
          <cell r="D343">
            <v>1582616</v>
          </cell>
          <cell r="E343">
            <v>12360893</v>
          </cell>
          <cell r="F343">
            <v>1531267</v>
          </cell>
          <cell r="G343">
            <v>91783</v>
          </cell>
        </row>
        <row r="344">
          <cell r="C344">
            <v>1455022</v>
          </cell>
          <cell r="D344">
            <v>1594844</v>
          </cell>
          <cell r="E344">
            <v>12534982</v>
          </cell>
          <cell r="F344">
            <v>1542611</v>
          </cell>
          <cell r="G344">
            <v>91807</v>
          </cell>
        </row>
        <row r="345">
          <cell r="C345">
            <v>1480874</v>
          </cell>
          <cell r="D345">
            <v>1605066</v>
          </cell>
          <cell r="E345">
            <v>12710526</v>
          </cell>
          <cell r="F345">
            <v>1560872</v>
          </cell>
          <cell r="G345">
            <v>91828</v>
          </cell>
        </row>
        <row r="346">
          <cell r="C346">
            <v>1509875</v>
          </cell>
          <cell r="D346">
            <v>1617355</v>
          </cell>
          <cell r="E346">
            <v>12893929</v>
          </cell>
          <cell r="F346">
            <v>1578429</v>
          </cell>
          <cell r="G346">
            <v>91850</v>
          </cell>
        </row>
        <row r="347">
          <cell r="C347">
            <v>1538217</v>
          </cell>
          <cell r="D347">
            <v>1628208</v>
          </cell>
          <cell r="E347">
            <v>13006455</v>
          </cell>
          <cell r="F347">
            <v>1593248</v>
          </cell>
          <cell r="G347">
            <v>91872</v>
          </cell>
        </row>
        <row r="348">
          <cell r="C348">
            <v>1564532</v>
          </cell>
          <cell r="D348">
            <v>1628208</v>
          </cell>
          <cell r="E348">
            <v>13214388</v>
          </cell>
          <cell r="F348">
            <v>1609141</v>
          </cell>
          <cell r="G348">
            <v>91885</v>
          </cell>
        </row>
        <row r="349">
          <cell r="C349">
            <v>1585178</v>
          </cell>
          <cell r="D349">
            <v>1628208</v>
          </cell>
          <cell r="E349">
            <v>13370049</v>
          </cell>
          <cell r="F349">
            <v>1621305</v>
          </cell>
          <cell r="G349">
            <v>91906</v>
          </cell>
        </row>
        <row r="350">
          <cell r="C350">
            <v>1601554</v>
          </cell>
          <cell r="D350">
            <v>1648187</v>
          </cell>
          <cell r="E350">
            <v>13510377</v>
          </cell>
          <cell r="F350">
            <v>1633733</v>
          </cell>
          <cell r="G350">
            <v>91935</v>
          </cell>
        </row>
        <row r="351">
          <cell r="C351">
            <v>1620901</v>
          </cell>
          <cell r="D351">
            <v>1656444</v>
          </cell>
          <cell r="E351">
            <v>13670698</v>
          </cell>
          <cell r="F351">
            <v>1647228</v>
          </cell>
          <cell r="G351">
            <v>91977</v>
          </cell>
        </row>
        <row r="352">
          <cell r="C352">
            <v>1641610</v>
          </cell>
          <cell r="D352">
            <v>1665775</v>
          </cell>
          <cell r="E352">
            <v>13859037</v>
          </cell>
          <cell r="F352">
            <v>1663467</v>
          </cell>
          <cell r="G352">
            <v>92037</v>
          </cell>
        </row>
        <row r="353">
          <cell r="C353">
            <v>1664829</v>
          </cell>
          <cell r="D353">
            <v>1675902</v>
          </cell>
          <cell r="E353">
            <v>14061931</v>
          </cell>
          <cell r="F353">
            <v>1678418</v>
          </cell>
          <cell r="G353">
            <v>92116</v>
          </cell>
        </row>
        <row r="354">
          <cell r="C354">
            <v>1688939</v>
          </cell>
          <cell r="D354">
            <v>1684647</v>
          </cell>
          <cell r="E354">
            <v>14285352</v>
          </cell>
          <cell r="F354">
            <v>1694796</v>
          </cell>
          <cell r="G354">
            <v>92211</v>
          </cell>
        </row>
        <row r="355">
          <cell r="C355">
            <v>1709991</v>
          </cell>
          <cell r="D355">
            <v>1684647</v>
          </cell>
          <cell r="E355">
            <v>14517996</v>
          </cell>
          <cell r="F355">
            <v>1710379</v>
          </cell>
          <cell r="G355">
            <v>92296</v>
          </cell>
        </row>
        <row r="356">
          <cell r="C356">
            <v>1728878</v>
          </cell>
          <cell r="D356">
            <v>1684647</v>
          </cell>
          <cell r="E356">
            <v>14733807</v>
          </cell>
          <cell r="F356">
            <v>1727751</v>
          </cell>
          <cell r="G356">
            <v>92402</v>
          </cell>
        </row>
        <row r="357">
          <cell r="C357">
            <v>1742557</v>
          </cell>
          <cell r="D357">
            <v>1702328</v>
          </cell>
          <cell r="E357">
            <v>14915060</v>
          </cell>
          <cell r="F357">
            <v>1742525</v>
          </cell>
          <cell r="G357">
            <v>92488</v>
          </cell>
        </row>
        <row r="358">
          <cell r="C358">
            <v>1757394</v>
          </cell>
          <cell r="D358">
            <v>1702328</v>
          </cell>
          <cell r="E358">
            <v>15109469</v>
          </cell>
          <cell r="F358">
            <v>1754911</v>
          </cell>
          <cell r="G358">
            <v>92586</v>
          </cell>
        </row>
        <row r="359">
          <cell r="C359">
            <v>1770149</v>
          </cell>
          <cell r="D359">
            <v>1712101</v>
          </cell>
          <cell r="E359">
            <v>15333921</v>
          </cell>
          <cell r="F359">
            <v>1771545</v>
          </cell>
          <cell r="G359">
            <v>92681</v>
          </cell>
        </row>
        <row r="360">
          <cell r="C360">
            <v>1787147</v>
          </cell>
          <cell r="D360">
            <v>1720056</v>
          </cell>
          <cell r="E360">
            <v>15556569</v>
          </cell>
          <cell r="F360">
            <v>1792611</v>
          </cell>
          <cell r="G360">
            <v>92814</v>
          </cell>
        </row>
        <row r="361">
          <cell r="C361">
            <v>1805873</v>
          </cell>
          <cell r="D361">
            <v>1730575</v>
          </cell>
          <cell r="E361">
            <v>15787997</v>
          </cell>
          <cell r="F361">
            <v>1814395</v>
          </cell>
          <cell r="G361">
            <v>92902</v>
          </cell>
        </row>
        <row r="362">
          <cell r="C362">
            <v>1825775</v>
          </cell>
          <cell r="D362">
            <v>1730575</v>
          </cell>
          <cell r="E362">
            <v>16028086</v>
          </cell>
          <cell r="F362">
            <v>1835949</v>
          </cell>
          <cell r="G362">
            <v>92993</v>
          </cell>
        </row>
        <row r="363">
          <cell r="C363">
            <v>1843712</v>
          </cell>
          <cell r="D363">
            <v>1730575</v>
          </cell>
          <cell r="E363">
            <v>16245883</v>
          </cell>
          <cell r="F363">
            <v>1854490</v>
          </cell>
          <cell r="G363">
            <v>93113</v>
          </cell>
        </row>
        <row r="364">
          <cell r="C364">
            <v>1855737</v>
          </cell>
          <cell r="D364">
            <v>1751884</v>
          </cell>
          <cell r="E364">
            <v>16433854</v>
          </cell>
          <cell r="F364">
            <v>1874867</v>
          </cell>
          <cell r="G364">
            <v>93221</v>
          </cell>
        </row>
        <row r="365">
          <cell r="C365">
            <v>1870576</v>
          </cell>
          <cell r="D365">
            <v>1762212</v>
          </cell>
          <cell r="E365">
            <v>16628168</v>
          </cell>
          <cell r="F365">
            <v>1893436</v>
          </cell>
          <cell r="G365">
            <v>93348</v>
          </cell>
        </row>
        <row r="366">
          <cell r="C366">
            <v>1888144</v>
          </cell>
          <cell r="D366">
            <v>1773290</v>
          </cell>
          <cell r="E366">
            <v>16837160</v>
          </cell>
          <cell r="F366">
            <v>1918736</v>
          </cell>
          <cell r="G366">
            <v>93467</v>
          </cell>
        </row>
        <row r="367">
          <cell r="C367">
            <v>1906377</v>
          </cell>
          <cell r="D367">
            <v>1785421</v>
          </cell>
          <cell r="E367">
            <v>17083804</v>
          </cell>
          <cell r="F367">
            <v>1954268</v>
          </cell>
          <cell r="G367">
            <v>93577</v>
          </cell>
        </row>
        <row r="368">
          <cell r="C368">
            <v>1921778</v>
          </cell>
          <cell r="D368">
            <v>1797236</v>
          </cell>
          <cell r="E368">
            <v>17323704</v>
          </cell>
          <cell r="F368">
            <v>1982828</v>
          </cell>
          <cell r="G368">
            <v>93670</v>
          </cell>
        </row>
        <row r="369">
          <cell r="C369">
            <v>1938083</v>
          </cell>
          <cell r="D369">
            <v>1797236</v>
          </cell>
          <cell r="E369">
            <v>17575536</v>
          </cell>
          <cell r="F369">
            <v>2010077</v>
          </cell>
          <cell r="G369">
            <v>93782</v>
          </cell>
        </row>
        <row r="370">
          <cell r="C370">
            <v>1953185</v>
          </cell>
          <cell r="D370">
            <v>1797236</v>
          </cell>
          <cell r="E370">
            <v>17767638</v>
          </cell>
          <cell r="F370">
            <v>2046161</v>
          </cell>
          <cell r="G370">
            <v>93898</v>
          </cell>
        </row>
        <row r="371">
          <cell r="C371">
            <v>1964054</v>
          </cell>
          <cell r="D371">
            <v>1819249</v>
          </cell>
          <cell r="E371">
            <v>17955653</v>
          </cell>
          <cell r="F371">
            <v>2079678</v>
          </cell>
          <cell r="G371">
            <v>94025</v>
          </cell>
        </row>
        <row r="372">
          <cell r="C372">
            <v>1977370</v>
          </cell>
          <cell r="D372">
            <v>1829903</v>
          </cell>
          <cell r="E372">
            <v>18154356</v>
          </cell>
          <cell r="F372">
            <v>2116608</v>
          </cell>
          <cell r="G372">
            <v>94124</v>
          </cell>
        </row>
        <row r="373">
          <cell r="C373">
            <v>1991378</v>
          </cell>
          <cell r="D373">
            <v>1842289</v>
          </cell>
          <cell r="E373">
            <v>18352463</v>
          </cell>
          <cell r="F373">
            <v>2155996</v>
          </cell>
          <cell r="G373">
            <v>94217</v>
          </cell>
        </row>
        <row r="374">
          <cell r="C374">
            <v>2009317</v>
          </cell>
          <cell r="D374">
            <v>1854951</v>
          </cell>
          <cell r="E374">
            <v>18582087</v>
          </cell>
          <cell r="F374">
            <v>2195144</v>
          </cell>
          <cell r="G374">
            <v>94328</v>
          </cell>
        </row>
        <row r="375">
          <cell r="C375">
            <v>2028354</v>
          </cell>
          <cell r="D375">
            <v>1854951</v>
          </cell>
          <cell r="E375">
            <v>18776242</v>
          </cell>
          <cell r="F375">
            <v>2227947</v>
          </cell>
          <cell r="G375">
            <v>94427</v>
          </cell>
        </row>
        <row r="376">
          <cell r="C376">
            <v>2038759</v>
          </cell>
          <cell r="D376">
            <v>1854951</v>
          </cell>
          <cell r="E376">
            <v>18874122</v>
          </cell>
          <cell r="F376">
            <v>2262735</v>
          </cell>
          <cell r="G376">
            <v>94537</v>
          </cell>
        </row>
        <row r="377">
          <cell r="C377">
            <v>2047696</v>
          </cell>
          <cell r="D377">
            <v>1854951</v>
          </cell>
          <cell r="E377">
            <v>19100538</v>
          </cell>
          <cell r="F377">
            <v>2295228</v>
          </cell>
          <cell r="G377">
            <v>94626</v>
          </cell>
        </row>
        <row r="378">
          <cell r="C378">
            <v>2056277</v>
          </cell>
          <cell r="D378">
            <v>1879413</v>
          </cell>
          <cell r="E378">
            <v>19256383</v>
          </cell>
          <cell r="F378">
            <v>2336688</v>
          </cell>
          <cell r="G378">
            <v>94734</v>
          </cell>
        </row>
        <row r="379">
          <cell r="C379">
            <v>2067487</v>
          </cell>
          <cell r="D379">
            <v>1893502</v>
          </cell>
          <cell r="E379">
            <v>19430535</v>
          </cell>
          <cell r="F379">
            <v>2389963</v>
          </cell>
          <cell r="G379">
            <v>94823</v>
          </cell>
        </row>
        <row r="380">
          <cell r="C380">
            <v>2083689</v>
          </cell>
          <cell r="D380">
            <v>1910218</v>
          </cell>
          <cell r="E380">
            <v>19630943</v>
          </cell>
          <cell r="F380">
            <v>2440202</v>
          </cell>
          <cell r="G380">
            <v>94953</v>
          </cell>
        </row>
        <row r="381">
          <cell r="C381">
            <v>2107166</v>
          </cell>
          <cell r="D381">
            <v>1928265</v>
          </cell>
          <cell r="E381">
            <v>19864644</v>
          </cell>
          <cell r="F381">
            <v>2496214</v>
          </cell>
          <cell r="G381">
            <v>95050</v>
          </cell>
        </row>
        <row r="382">
          <cell r="C382">
            <v>2129376</v>
          </cell>
          <cell r="D382">
            <v>1928265</v>
          </cell>
          <cell r="E382">
            <v>20100244</v>
          </cell>
          <cell r="F382">
            <v>2549689</v>
          </cell>
          <cell r="G382">
            <v>95150</v>
          </cell>
        </row>
        <row r="383">
          <cell r="C383">
            <v>2141201</v>
          </cell>
          <cell r="D383">
            <v>1928265</v>
          </cell>
          <cell r="E383">
            <v>20254160</v>
          </cell>
          <cell r="F383">
            <v>2607542</v>
          </cell>
          <cell r="G383">
            <v>95228</v>
          </cell>
        </row>
        <row r="384">
          <cell r="C384">
            <v>2155446</v>
          </cell>
          <cell r="D384">
            <v>1928265</v>
          </cell>
          <cell r="E384">
            <v>20554622</v>
          </cell>
          <cell r="F384">
            <v>2662699</v>
          </cell>
          <cell r="G384">
            <v>95298</v>
          </cell>
        </row>
        <row r="385">
          <cell r="C385">
            <v>2155446</v>
          </cell>
          <cell r="D385">
            <v>1928265</v>
          </cell>
          <cell r="E385">
            <v>20763475</v>
          </cell>
          <cell r="F385">
            <v>2721622</v>
          </cell>
          <cell r="G385">
            <v>95383</v>
          </cell>
        </row>
        <row r="386">
          <cell r="C386">
            <v>2181619</v>
          </cell>
          <cell r="D386">
            <v>1982544</v>
          </cell>
          <cell r="E386">
            <v>20947480</v>
          </cell>
          <cell r="F386">
            <v>2782709</v>
          </cell>
          <cell r="G386">
            <v>95460</v>
          </cell>
        </row>
        <row r="387">
          <cell r="C387">
            <v>2201945</v>
          </cell>
          <cell r="D387">
            <v>1982544</v>
          </cell>
          <cell r="E387">
            <v>21182522</v>
          </cell>
          <cell r="F387">
            <v>2845265</v>
          </cell>
          <cell r="G387">
            <v>95541</v>
          </cell>
        </row>
        <row r="388">
          <cell r="C388">
            <v>2220361</v>
          </cell>
          <cell r="D388">
            <v>2024904</v>
          </cell>
          <cell r="E388">
            <v>21438159</v>
          </cell>
          <cell r="F388">
            <v>2898052</v>
          </cell>
          <cell r="G388">
            <v>95632</v>
          </cell>
        </row>
        <row r="389">
          <cell r="C389">
            <v>2237890</v>
          </cell>
          <cell r="D389">
            <v>2050360</v>
          </cell>
          <cell r="E389">
            <v>21716496</v>
          </cell>
          <cell r="F389">
            <v>2966235</v>
          </cell>
          <cell r="G389">
            <v>95720</v>
          </cell>
        </row>
        <row r="390">
          <cell r="C390">
            <v>2257866</v>
          </cell>
          <cell r="D390">
            <v>2050360</v>
          </cell>
          <cell r="E390">
            <v>22011753</v>
          </cell>
          <cell r="F390">
            <v>3026342</v>
          </cell>
          <cell r="G390">
            <v>95797</v>
          </cell>
        </row>
        <row r="391">
          <cell r="C391">
            <v>2276491</v>
          </cell>
          <cell r="D391">
            <v>2050360</v>
          </cell>
          <cell r="E391">
            <v>22272720</v>
          </cell>
          <cell r="F391">
            <v>3081368</v>
          </cell>
          <cell r="G391">
            <v>95876</v>
          </cell>
        </row>
        <row r="392">
          <cell r="C392">
            <v>2289021</v>
          </cell>
          <cell r="D392">
            <v>2111782</v>
          </cell>
          <cell r="E392">
            <v>22486135</v>
          </cell>
          <cell r="F392">
            <v>3127643</v>
          </cell>
          <cell r="G392">
            <v>95963</v>
          </cell>
        </row>
        <row r="393">
          <cell r="C393">
            <v>2303263</v>
          </cell>
          <cell r="D393">
            <v>2137220</v>
          </cell>
          <cell r="E393">
            <v>22700799</v>
          </cell>
          <cell r="F393">
            <v>3173291</v>
          </cell>
          <cell r="G393">
            <v>96023</v>
          </cell>
        </row>
        <row r="394">
          <cell r="C394">
            <v>2319036</v>
          </cell>
          <cell r="D394">
            <v>2176089</v>
          </cell>
          <cell r="E394">
            <v>22927766</v>
          </cell>
          <cell r="F394">
            <v>3220953</v>
          </cell>
          <cell r="G394">
            <v>96086</v>
          </cell>
        </row>
        <row r="395">
          <cell r="C395">
            <v>2336279</v>
          </cell>
          <cell r="D395">
            <v>2211967</v>
          </cell>
          <cell r="E395">
            <v>23158067</v>
          </cell>
          <cell r="F395">
            <v>3269757</v>
          </cell>
          <cell r="G395">
            <v>96160</v>
          </cell>
        </row>
        <row r="396">
          <cell r="C396">
            <v>2352423</v>
          </cell>
          <cell r="D396">
            <v>2252164</v>
          </cell>
          <cell r="E396">
            <v>23393833</v>
          </cell>
          <cell r="F396">
            <v>3325642</v>
          </cell>
          <cell r="G396">
            <v>96213</v>
          </cell>
        </row>
        <row r="397">
          <cell r="C397">
            <v>2368733</v>
          </cell>
          <cell r="D397">
            <v>2252164</v>
          </cell>
          <cell r="E397">
            <v>23636613</v>
          </cell>
          <cell r="F397">
            <v>3367070</v>
          </cell>
          <cell r="G397">
            <v>96310</v>
          </cell>
        </row>
        <row r="398">
          <cell r="C398">
            <v>2381277</v>
          </cell>
          <cell r="D398">
            <v>2252164</v>
          </cell>
          <cell r="E398">
            <v>23838471</v>
          </cell>
          <cell r="F398">
            <v>3405740</v>
          </cell>
          <cell r="G398">
            <v>96398</v>
          </cell>
        </row>
        <row r="399">
          <cell r="C399">
            <v>2390102</v>
          </cell>
          <cell r="D399">
            <v>2336451</v>
          </cell>
          <cell r="E399">
            <v>24016402</v>
          </cell>
          <cell r="F399">
            <v>3443350</v>
          </cell>
          <cell r="G399">
            <v>96484</v>
          </cell>
        </row>
        <row r="400">
          <cell r="C400">
            <v>2400598</v>
          </cell>
          <cell r="D400">
            <v>2370742</v>
          </cell>
          <cell r="E400">
            <v>24160000</v>
          </cell>
          <cell r="F400">
            <v>3476804</v>
          </cell>
          <cell r="G400">
            <v>96562</v>
          </cell>
        </row>
        <row r="401">
          <cell r="C401">
            <v>2414166</v>
          </cell>
          <cell r="D401">
            <v>2412318</v>
          </cell>
          <cell r="E401">
            <v>24336216</v>
          </cell>
          <cell r="F401">
            <v>3515796</v>
          </cell>
          <cell r="G401">
            <v>96690</v>
          </cell>
        </row>
        <row r="402">
          <cell r="C402">
            <v>2428221</v>
          </cell>
          <cell r="D402">
            <v>2456675</v>
          </cell>
          <cell r="E402">
            <v>24519477</v>
          </cell>
          <cell r="F402">
            <v>3553773</v>
          </cell>
          <cell r="G402">
            <v>96824</v>
          </cell>
        </row>
        <row r="403">
          <cell r="C403">
            <v>2441854</v>
          </cell>
          <cell r="D403">
            <v>2499560</v>
          </cell>
          <cell r="E403">
            <v>24713333</v>
          </cell>
          <cell r="F403">
            <v>3594094</v>
          </cell>
          <cell r="G403">
            <v>96920</v>
          </cell>
        </row>
        <row r="404">
          <cell r="C404">
            <v>2455185</v>
          </cell>
          <cell r="D404">
            <v>2499560</v>
          </cell>
          <cell r="E404">
            <v>24904093</v>
          </cell>
          <cell r="F404">
            <v>3627746</v>
          </cell>
          <cell r="G404">
            <v>97095</v>
          </cell>
        </row>
        <row r="405">
          <cell r="C405">
            <v>2466813</v>
          </cell>
          <cell r="D405">
            <v>2499560</v>
          </cell>
          <cell r="E405">
            <v>25074852</v>
          </cell>
          <cell r="F405">
            <v>3657857</v>
          </cell>
          <cell r="G405">
            <v>97275</v>
          </cell>
        </row>
        <row r="406">
          <cell r="C406">
            <v>2475372</v>
          </cell>
          <cell r="D406">
            <v>2593382</v>
          </cell>
          <cell r="E406">
            <v>25206050</v>
          </cell>
          <cell r="F406">
            <v>3680101</v>
          </cell>
          <cell r="G406">
            <v>97446</v>
          </cell>
        </row>
        <row r="407">
          <cell r="C407">
            <v>2485956</v>
          </cell>
          <cell r="D407">
            <v>2629817</v>
          </cell>
          <cell r="E407">
            <v>25357727</v>
          </cell>
          <cell r="F407">
            <v>3700268</v>
          </cell>
          <cell r="G407">
            <v>97448</v>
          </cell>
        </row>
        <row r="408">
          <cell r="C408">
            <v>2501147</v>
          </cell>
          <cell r="D408">
            <v>2670102</v>
          </cell>
          <cell r="E408">
            <v>25505353</v>
          </cell>
          <cell r="F408">
            <v>3725637</v>
          </cell>
          <cell r="G408">
            <v>97775</v>
          </cell>
        </row>
        <row r="409">
          <cell r="C409">
            <v>2515507</v>
          </cell>
          <cell r="D409">
            <v>2705001</v>
          </cell>
          <cell r="E409">
            <v>25659314</v>
          </cell>
          <cell r="F409">
            <v>3754448</v>
          </cell>
          <cell r="G409">
            <v>97939</v>
          </cell>
        </row>
        <row r="410">
          <cell r="C410">
            <v>2529070</v>
          </cell>
          <cell r="D410">
            <v>2743119</v>
          </cell>
          <cell r="E410">
            <v>25828118</v>
          </cell>
          <cell r="F410">
            <v>3783593</v>
          </cell>
          <cell r="G410">
            <v>98164</v>
          </cell>
        </row>
        <row r="411">
          <cell r="C411">
            <v>2541783</v>
          </cell>
          <cell r="D411">
            <v>2743119</v>
          </cell>
          <cell r="E411">
            <v>25994731</v>
          </cell>
          <cell r="F411">
            <v>3806993</v>
          </cell>
          <cell r="G411">
            <v>98323</v>
          </cell>
        </row>
        <row r="412">
          <cell r="C412">
            <v>2553032</v>
          </cell>
          <cell r="D412">
            <v>2743119</v>
          </cell>
          <cell r="E412">
            <v>26137190</v>
          </cell>
          <cell r="F412">
            <v>3828183</v>
          </cell>
          <cell r="G412">
            <v>98544</v>
          </cell>
        </row>
        <row r="413">
          <cell r="C413">
            <v>2560957</v>
          </cell>
          <cell r="D413">
            <v>2822805</v>
          </cell>
          <cell r="E413">
            <v>26249342</v>
          </cell>
          <cell r="F413">
            <v>3846851</v>
          </cell>
          <cell r="G413">
            <v>98544</v>
          </cell>
        </row>
        <row r="414">
          <cell r="C414">
            <v>2570608</v>
          </cell>
          <cell r="D414">
            <v>2851869</v>
          </cell>
          <cell r="E414">
            <v>26384317</v>
          </cell>
          <cell r="F414">
            <v>3863757</v>
          </cell>
          <cell r="G414">
            <v>98886</v>
          </cell>
        </row>
        <row r="415">
          <cell r="C415">
            <v>2583790</v>
          </cell>
          <cell r="D415">
            <v>2883465</v>
          </cell>
          <cell r="E415">
            <v>26499620</v>
          </cell>
          <cell r="F415">
            <v>3882972</v>
          </cell>
          <cell r="G415">
            <v>99047</v>
          </cell>
        </row>
        <row r="416">
          <cell r="C416">
            <v>2597446</v>
          </cell>
          <cell r="D416">
            <v>2913425</v>
          </cell>
          <cell r="E416">
            <v>26621311</v>
          </cell>
          <cell r="F416">
            <v>3903706</v>
          </cell>
          <cell r="G416">
            <v>99247</v>
          </cell>
        </row>
        <row r="417">
          <cell r="C417">
            <v>2611659</v>
          </cell>
          <cell r="D417">
            <v>2941990</v>
          </cell>
          <cell r="E417">
            <v>26745317</v>
          </cell>
          <cell r="F417">
            <v>3922910</v>
          </cell>
          <cell r="G417">
            <v>99402</v>
          </cell>
        </row>
        <row r="418">
          <cell r="C418">
            <v>2625098</v>
          </cell>
          <cell r="D418">
            <v>2941990</v>
          </cell>
          <cell r="E418">
            <v>26879739</v>
          </cell>
          <cell r="F418">
            <v>3941273</v>
          </cell>
          <cell r="G418">
            <v>99541</v>
          </cell>
        </row>
        <row r="419">
          <cell r="C419">
            <v>2636738</v>
          </cell>
          <cell r="D419">
            <v>2941990</v>
          </cell>
          <cell r="E419">
            <v>26983915</v>
          </cell>
          <cell r="F419">
            <v>3957177</v>
          </cell>
          <cell r="G419">
            <v>99655</v>
          </cell>
        </row>
        <row r="420">
          <cell r="C420">
            <v>2644707</v>
          </cell>
          <cell r="D420">
            <v>2989085</v>
          </cell>
          <cell r="E420">
            <v>27073661</v>
          </cell>
          <cell r="F420">
            <v>3971315</v>
          </cell>
          <cell r="G420">
            <v>99746</v>
          </cell>
        </row>
        <row r="421">
          <cell r="C421">
            <v>2655319</v>
          </cell>
          <cell r="D421">
            <v>3005487</v>
          </cell>
          <cell r="E421">
            <v>27164099</v>
          </cell>
          <cell r="F421">
            <v>3983756</v>
          </cell>
          <cell r="G421">
            <v>99848</v>
          </cell>
        </row>
        <row r="422">
          <cell r="C422">
            <v>2668266</v>
          </cell>
          <cell r="D422">
            <v>3023601</v>
          </cell>
          <cell r="E422">
            <v>27259364</v>
          </cell>
          <cell r="F422">
            <v>3996833</v>
          </cell>
          <cell r="G422">
            <v>99968</v>
          </cell>
        </row>
        <row r="423">
          <cell r="C423">
            <v>2683403</v>
          </cell>
          <cell r="D423">
            <v>3041454</v>
          </cell>
          <cell r="E423">
            <v>27354614</v>
          </cell>
          <cell r="F423">
            <v>4010376</v>
          </cell>
          <cell r="G423">
            <v>100063</v>
          </cell>
        </row>
        <row r="424">
          <cell r="C424">
            <v>2697296</v>
          </cell>
          <cell r="D424">
            <v>3056035</v>
          </cell>
          <cell r="E424">
            <v>27460378</v>
          </cell>
          <cell r="F424">
            <v>4025574</v>
          </cell>
          <cell r="G424">
            <v>100127</v>
          </cell>
        </row>
        <row r="425">
          <cell r="C425">
            <v>2710819</v>
          </cell>
          <cell r="D425">
            <v>3056035</v>
          </cell>
          <cell r="E425">
            <v>27560048</v>
          </cell>
          <cell r="F425">
            <v>4038929</v>
          </cell>
          <cell r="G425">
            <v>100177</v>
          </cell>
        </row>
        <row r="426">
          <cell r="C426">
            <v>2721879</v>
          </cell>
          <cell r="D426">
            <v>3056035</v>
          </cell>
          <cell r="E426">
            <v>27647267</v>
          </cell>
          <cell r="F426">
            <v>4049920</v>
          </cell>
          <cell r="G426">
            <v>100226</v>
          </cell>
        </row>
        <row r="427">
          <cell r="C427">
            <v>2729223</v>
          </cell>
          <cell r="D427">
            <v>3086286</v>
          </cell>
          <cell r="E427">
            <v>27712402</v>
          </cell>
          <cell r="F427">
            <v>4059696</v>
          </cell>
          <cell r="G427">
            <v>100268</v>
          </cell>
        </row>
        <row r="428">
          <cell r="C428">
            <v>2739591</v>
          </cell>
          <cell r="D428">
            <v>3096343</v>
          </cell>
          <cell r="E428">
            <v>27766681</v>
          </cell>
          <cell r="F428">
            <v>4070332</v>
          </cell>
          <cell r="G428">
            <v>100318</v>
          </cell>
        </row>
        <row r="429">
          <cell r="C429">
            <v>2751657</v>
          </cell>
          <cell r="D429">
            <v>3107172</v>
          </cell>
          <cell r="E429">
            <v>27829179</v>
          </cell>
          <cell r="F429">
            <v>4083092</v>
          </cell>
          <cell r="G429">
            <v>100348</v>
          </cell>
        </row>
        <row r="430">
          <cell r="C430">
            <v>2765412</v>
          </cell>
          <cell r="D430">
            <v>3121687</v>
          </cell>
          <cell r="E430">
            <v>27899318</v>
          </cell>
          <cell r="F430">
            <v>4095187</v>
          </cell>
          <cell r="G430">
            <v>100389</v>
          </cell>
        </row>
        <row r="431">
          <cell r="C431">
            <v>2780882</v>
          </cell>
          <cell r="D431">
            <v>3133122</v>
          </cell>
          <cell r="E431">
            <v>27969229</v>
          </cell>
          <cell r="F431">
            <v>4107286</v>
          </cell>
          <cell r="G431">
            <v>100435</v>
          </cell>
        </row>
        <row r="432">
          <cell r="C432">
            <v>2795796</v>
          </cell>
          <cell r="D432">
            <v>3133122</v>
          </cell>
          <cell r="E432">
            <v>28048511</v>
          </cell>
          <cell r="F432">
            <v>4117739</v>
          </cell>
          <cell r="G432">
            <v>100475</v>
          </cell>
        </row>
        <row r="433">
          <cell r="C433">
            <v>2809246</v>
          </cell>
          <cell r="D433">
            <v>3133122</v>
          </cell>
          <cell r="E433">
            <v>28120207</v>
          </cell>
          <cell r="F433">
            <v>4127574</v>
          </cell>
          <cell r="G433">
            <v>100494</v>
          </cell>
        </row>
        <row r="434">
          <cell r="C434">
            <v>2818863</v>
          </cell>
          <cell r="D434">
            <v>3153971</v>
          </cell>
          <cell r="E434">
            <v>28177359</v>
          </cell>
          <cell r="F434">
            <v>4138233</v>
          </cell>
          <cell r="G434">
            <v>100527</v>
          </cell>
        </row>
        <row r="435">
          <cell r="C435">
            <v>2832162</v>
          </cell>
          <cell r="D435">
            <v>3161432</v>
          </cell>
          <cell r="E435">
            <v>28233518</v>
          </cell>
          <cell r="F435">
            <v>4146756</v>
          </cell>
          <cell r="G435">
            <v>100559</v>
          </cell>
        </row>
        <row r="436">
          <cell r="C436">
            <v>2848564</v>
          </cell>
          <cell r="D436">
            <v>3170644</v>
          </cell>
          <cell r="E436">
            <v>28305788</v>
          </cell>
          <cell r="F436">
            <v>4156703</v>
          </cell>
          <cell r="G436">
            <v>100578</v>
          </cell>
        </row>
        <row r="437">
          <cell r="C437">
            <v>2868435</v>
          </cell>
          <cell r="D437">
            <v>3180212</v>
          </cell>
          <cell r="E437">
            <v>28380537</v>
          </cell>
          <cell r="F437">
            <v>4166727</v>
          </cell>
          <cell r="G437">
            <v>100599</v>
          </cell>
        </row>
        <row r="438">
          <cell r="C438">
            <v>2888923</v>
          </cell>
          <cell r="D438">
            <v>3188553</v>
          </cell>
          <cell r="E438">
            <v>28458041</v>
          </cell>
          <cell r="F438">
            <v>4175315</v>
          </cell>
          <cell r="G438">
            <v>100624</v>
          </cell>
        </row>
        <row r="439">
          <cell r="C439">
            <v>2907825</v>
          </cell>
          <cell r="D439">
            <v>3188553</v>
          </cell>
          <cell r="E439">
            <v>28535390</v>
          </cell>
          <cell r="F439">
            <v>4182772</v>
          </cell>
          <cell r="G439">
            <v>100639</v>
          </cell>
        </row>
        <row r="440">
          <cell r="C440">
            <v>2925265</v>
          </cell>
          <cell r="D440">
            <v>3188553</v>
          </cell>
          <cell r="E440">
            <v>28600016</v>
          </cell>
          <cell r="F440">
            <v>4188827</v>
          </cell>
          <cell r="G440">
            <v>100666</v>
          </cell>
        </row>
        <row r="441">
          <cell r="C441">
            <v>2938371</v>
          </cell>
          <cell r="D441">
            <v>3204531</v>
          </cell>
          <cell r="E441">
            <v>28651438</v>
          </cell>
          <cell r="F441">
            <v>4194289</v>
          </cell>
          <cell r="G441">
            <v>100684</v>
          </cell>
        </row>
        <row r="442">
          <cell r="C442">
            <v>2955434</v>
          </cell>
          <cell r="D442">
            <v>3130184</v>
          </cell>
          <cell r="E442">
            <v>28709536</v>
          </cell>
          <cell r="F442">
            <v>4200700</v>
          </cell>
          <cell r="G442">
            <v>100705</v>
          </cell>
        </row>
        <row r="443">
          <cell r="C443">
            <v>2976274</v>
          </cell>
          <cell r="D443">
            <v>3136321</v>
          </cell>
          <cell r="E443">
            <v>28766634</v>
          </cell>
          <cell r="F443">
            <v>4207119</v>
          </cell>
          <cell r="G443">
            <v>100727</v>
          </cell>
        </row>
        <row r="444">
          <cell r="C444">
            <v>2999119</v>
          </cell>
          <cell r="D444">
            <v>3142358</v>
          </cell>
          <cell r="E444">
            <v>28833825</v>
          </cell>
          <cell r="F444">
            <v>4213764</v>
          </cell>
          <cell r="G444">
            <v>100758</v>
          </cell>
        </row>
        <row r="445">
          <cell r="C445">
            <v>3023129</v>
          </cell>
          <cell r="D445">
            <v>3149012</v>
          </cell>
          <cell r="E445">
            <v>28901885</v>
          </cell>
          <cell r="F445">
            <v>4219788</v>
          </cell>
          <cell r="G445">
            <v>100784</v>
          </cell>
        </row>
        <row r="446">
          <cell r="C446">
            <v>3046762</v>
          </cell>
          <cell r="D446">
            <v>3149012</v>
          </cell>
          <cell r="E446">
            <v>28968304</v>
          </cell>
          <cell r="F446">
            <v>4225906</v>
          </cell>
          <cell r="G446">
            <v>100808</v>
          </cell>
        </row>
        <row r="447">
          <cell r="C447">
            <v>3067486</v>
          </cell>
          <cell r="D447">
            <v>3149012</v>
          </cell>
          <cell r="E447">
            <v>29026558</v>
          </cell>
          <cell r="F447">
            <v>4231166</v>
          </cell>
          <cell r="G447">
            <v>100832</v>
          </cell>
        </row>
        <row r="448">
          <cell r="C448">
            <v>3081368</v>
          </cell>
          <cell r="D448">
            <v>3160970</v>
          </cell>
          <cell r="E448">
            <v>29067631</v>
          </cell>
          <cell r="F448">
            <v>4235989</v>
          </cell>
          <cell r="G448">
            <v>100851</v>
          </cell>
        </row>
        <row r="449">
          <cell r="C449">
            <v>3101093</v>
          </cell>
          <cell r="D449">
            <v>3164982</v>
          </cell>
          <cell r="E449">
            <v>29112548</v>
          </cell>
          <cell r="F449">
            <v>4241858</v>
          </cell>
          <cell r="G449">
            <v>100885</v>
          </cell>
        </row>
        <row r="450">
          <cell r="C450">
            <v>3123368</v>
          </cell>
          <cell r="D450">
            <v>3172101</v>
          </cell>
          <cell r="E450">
            <v>29170215</v>
          </cell>
          <cell r="F450">
            <v>4247879</v>
          </cell>
          <cell r="G450">
            <v>100924</v>
          </cell>
        </row>
        <row r="451">
          <cell r="C451">
            <v>3149017</v>
          </cell>
          <cell r="D451">
            <v>3178356</v>
          </cell>
          <cell r="E451">
            <v>29228110</v>
          </cell>
          <cell r="F451">
            <v>4254714</v>
          </cell>
          <cell r="G451">
            <v>100965</v>
          </cell>
        </row>
        <row r="452">
          <cell r="C452">
            <v>3175807</v>
          </cell>
          <cell r="D452">
            <v>3183704</v>
          </cell>
          <cell r="E452">
            <v>29290581</v>
          </cell>
          <cell r="F452">
            <v>4261398</v>
          </cell>
          <cell r="G452">
            <v>100990</v>
          </cell>
        </row>
        <row r="453">
          <cell r="C453">
            <v>3201838</v>
          </cell>
          <cell r="D453">
            <v>3183704</v>
          </cell>
          <cell r="E453">
            <v>29352094</v>
          </cell>
          <cell r="F453">
            <v>4267015</v>
          </cell>
          <cell r="G453">
            <v>101013</v>
          </cell>
        </row>
        <row r="454">
          <cell r="C454">
            <v>3223142</v>
          </cell>
          <cell r="D454">
            <v>3183704</v>
          </cell>
          <cell r="E454">
            <v>29405125</v>
          </cell>
          <cell r="F454">
            <v>4271710</v>
          </cell>
          <cell r="G454">
            <v>101037</v>
          </cell>
        </row>
        <row r="455">
          <cell r="C455">
            <v>3238394</v>
          </cell>
          <cell r="D455">
            <v>3195062</v>
          </cell>
          <cell r="E455">
            <v>29443403</v>
          </cell>
          <cell r="F455">
            <v>4276839</v>
          </cell>
          <cell r="G455">
            <v>101055</v>
          </cell>
        </row>
        <row r="456">
          <cell r="C456">
            <v>3258770</v>
          </cell>
          <cell r="D456">
            <v>3200024</v>
          </cell>
          <cell r="E456">
            <v>29499944</v>
          </cell>
          <cell r="F456">
            <v>4282203</v>
          </cell>
          <cell r="G456">
            <v>101076</v>
          </cell>
        </row>
        <row r="457">
          <cell r="C457">
            <v>3281810</v>
          </cell>
          <cell r="D457">
            <v>3206116</v>
          </cell>
          <cell r="E457">
            <v>29553952</v>
          </cell>
          <cell r="F457">
            <v>4287996</v>
          </cell>
          <cell r="G457">
            <v>101097</v>
          </cell>
        </row>
        <row r="458">
          <cell r="C458">
            <v>3306711</v>
          </cell>
          <cell r="D458">
            <v>3212332</v>
          </cell>
          <cell r="E458">
            <v>29613232</v>
          </cell>
          <cell r="F458">
            <v>4294328</v>
          </cell>
          <cell r="G458">
            <v>101132</v>
          </cell>
        </row>
        <row r="459">
          <cell r="C459">
            <v>3332418</v>
          </cell>
          <cell r="D459">
            <v>3212332</v>
          </cell>
          <cell r="E459">
            <v>29673607</v>
          </cell>
          <cell r="F459">
            <v>4299199</v>
          </cell>
          <cell r="G459">
            <v>101149</v>
          </cell>
        </row>
        <row r="460">
          <cell r="C460">
            <v>3356331</v>
          </cell>
          <cell r="D460">
            <v>3212332</v>
          </cell>
          <cell r="E460">
            <v>29735258</v>
          </cell>
          <cell r="F460">
            <v>4304839</v>
          </cell>
          <cell r="G460">
            <v>101175</v>
          </cell>
        </row>
        <row r="461">
          <cell r="C461">
            <v>3376376</v>
          </cell>
          <cell r="D461">
            <v>3212332</v>
          </cell>
          <cell r="E461">
            <v>29790777</v>
          </cell>
          <cell r="F461">
            <v>4310195</v>
          </cell>
          <cell r="G461">
            <v>101194</v>
          </cell>
        </row>
        <row r="462">
          <cell r="C462">
            <v>3390181</v>
          </cell>
          <cell r="D462">
            <v>3228803</v>
          </cell>
          <cell r="E462">
            <v>29824599</v>
          </cell>
          <cell r="F462">
            <v>4315602</v>
          </cell>
          <cell r="G462">
            <v>101225</v>
          </cell>
        </row>
        <row r="463">
          <cell r="C463">
            <v>3419616</v>
          </cell>
          <cell r="D463">
            <v>3234319</v>
          </cell>
          <cell r="E463">
            <v>29876035</v>
          </cell>
          <cell r="F463">
            <v>4321019</v>
          </cell>
          <cell r="G463">
            <v>101292</v>
          </cell>
        </row>
        <row r="464">
          <cell r="C464">
            <v>3440862</v>
          </cell>
          <cell r="D464">
            <v>3234319</v>
          </cell>
          <cell r="E464">
            <v>29929723</v>
          </cell>
          <cell r="F464">
            <v>4326645</v>
          </cell>
          <cell r="G464">
            <v>101349</v>
          </cell>
        </row>
        <row r="465">
          <cell r="C465">
            <v>3464543</v>
          </cell>
          <cell r="D465">
            <v>3247738</v>
          </cell>
          <cell r="E465">
            <v>30016661</v>
          </cell>
          <cell r="F465">
            <v>4332922</v>
          </cell>
          <cell r="G465">
            <v>101378</v>
          </cell>
        </row>
        <row r="466">
          <cell r="C466">
            <v>3488619</v>
          </cell>
          <cell r="D466">
            <v>3255324</v>
          </cell>
          <cell r="E466">
            <v>30084207</v>
          </cell>
          <cell r="F466">
            <v>4339157</v>
          </cell>
          <cell r="G466">
            <v>101421</v>
          </cell>
        </row>
        <row r="467">
          <cell r="C467">
            <v>3512453</v>
          </cell>
          <cell r="D467">
            <v>3255324</v>
          </cell>
          <cell r="E467">
            <v>30161584</v>
          </cell>
          <cell r="F467">
            <v>4343066</v>
          </cell>
          <cell r="G467">
            <v>101443</v>
          </cell>
        </row>
        <row r="468">
          <cell r="C468">
            <v>3532057</v>
          </cell>
          <cell r="D468">
            <v>3255324</v>
          </cell>
          <cell r="E468">
            <v>30224426</v>
          </cell>
          <cell r="F468">
            <v>4347013</v>
          </cell>
          <cell r="G468">
            <v>101460</v>
          </cell>
        </row>
        <row r="469">
          <cell r="C469">
            <v>3544957</v>
          </cell>
          <cell r="D469">
            <v>3270825</v>
          </cell>
          <cell r="E469">
            <v>30267649</v>
          </cell>
          <cell r="F469">
            <v>4351796</v>
          </cell>
          <cell r="G469">
            <v>101481</v>
          </cell>
        </row>
        <row r="470">
          <cell r="C470">
            <v>3561012</v>
          </cell>
          <cell r="D470">
            <v>3275819</v>
          </cell>
          <cell r="E470">
            <v>30336922</v>
          </cell>
          <cell r="F470">
            <v>4355867</v>
          </cell>
          <cell r="G470">
            <v>101498</v>
          </cell>
        </row>
        <row r="471">
          <cell r="C471">
            <v>3584899</v>
          </cell>
          <cell r="D471">
            <v>3284353</v>
          </cell>
          <cell r="E471">
            <v>30398351</v>
          </cell>
          <cell r="F471">
            <v>4359982</v>
          </cell>
          <cell r="G471">
            <v>101518</v>
          </cell>
        </row>
        <row r="472">
          <cell r="C472">
            <v>3607083</v>
          </cell>
          <cell r="D472">
            <v>3291394</v>
          </cell>
          <cell r="E472">
            <v>30465116</v>
          </cell>
          <cell r="F472">
            <v>4364541</v>
          </cell>
          <cell r="G472">
            <v>101533</v>
          </cell>
        </row>
        <row r="473">
          <cell r="C473">
            <v>3629000</v>
          </cell>
          <cell r="D473">
            <v>3291394</v>
          </cell>
          <cell r="E473">
            <v>30544235</v>
          </cell>
          <cell r="F473">
            <v>4367956</v>
          </cell>
          <cell r="G473">
            <v>101560</v>
          </cell>
        </row>
        <row r="474">
          <cell r="C474">
            <v>3650247</v>
          </cell>
          <cell r="D474">
            <v>3300965</v>
          </cell>
          <cell r="E474">
            <v>30614122</v>
          </cell>
          <cell r="F474">
            <v>4371393</v>
          </cell>
          <cell r="G474">
            <v>101582</v>
          </cell>
        </row>
        <row r="475">
          <cell r="C475">
            <v>3668264</v>
          </cell>
          <cell r="D475">
            <v>3300965</v>
          </cell>
          <cell r="E475">
            <v>30677383</v>
          </cell>
          <cell r="F475">
            <v>4373798</v>
          </cell>
          <cell r="G475">
            <v>101603</v>
          </cell>
        </row>
        <row r="476">
          <cell r="C476">
            <v>3678944</v>
          </cell>
          <cell r="D476">
            <v>3311325</v>
          </cell>
          <cell r="E476">
            <v>30712516</v>
          </cell>
          <cell r="F476">
            <v>4376629</v>
          </cell>
          <cell r="G476">
            <v>101623</v>
          </cell>
        </row>
        <row r="477">
          <cell r="C477">
            <v>3686707</v>
          </cell>
          <cell r="D477">
            <v>3317948</v>
          </cell>
          <cell r="E477">
            <v>30789920</v>
          </cell>
          <cell r="F477">
            <v>4379033</v>
          </cell>
          <cell r="G477">
            <v>101646</v>
          </cell>
        </row>
        <row r="478">
          <cell r="C478">
            <v>3700393</v>
          </cell>
          <cell r="D478">
            <v>3326736</v>
          </cell>
          <cell r="E478">
            <v>30850594</v>
          </cell>
          <cell r="F478">
            <v>4381824</v>
          </cell>
          <cell r="G478">
            <v>101663</v>
          </cell>
        </row>
        <row r="479">
          <cell r="C479">
            <v>3717602</v>
          </cell>
          <cell r="D479">
            <v>3336637</v>
          </cell>
          <cell r="E479">
            <v>30925615</v>
          </cell>
          <cell r="F479">
            <v>4384954</v>
          </cell>
          <cell r="G479">
            <v>101676</v>
          </cell>
        </row>
        <row r="480">
          <cell r="C480">
            <v>3736526</v>
          </cell>
          <cell r="D480">
            <v>3347512</v>
          </cell>
          <cell r="E480">
            <v>31005509</v>
          </cell>
          <cell r="F480">
            <v>4380167</v>
          </cell>
          <cell r="G480">
            <v>101692</v>
          </cell>
        </row>
        <row r="481">
          <cell r="C481">
            <v>3754077</v>
          </cell>
          <cell r="D481">
            <v>3347512</v>
          </cell>
          <cell r="E481">
            <v>31088219</v>
          </cell>
          <cell r="F481">
            <v>4382880</v>
          </cell>
          <cell r="G481">
            <v>101710</v>
          </cell>
        </row>
        <row r="482">
          <cell r="C482">
            <v>3769814</v>
          </cell>
          <cell r="D482">
            <v>3347512</v>
          </cell>
          <cell r="E482">
            <v>31154906</v>
          </cell>
          <cell r="F482">
            <v>4384610</v>
          </cell>
          <cell r="G482">
            <v>101732</v>
          </cell>
        </row>
        <row r="483">
          <cell r="C483">
            <v>3779594</v>
          </cell>
          <cell r="D483">
            <v>3370256</v>
          </cell>
          <cell r="E483">
            <v>31201415</v>
          </cell>
          <cell r="F483">
            <v>4388296</v>
          </cell>
          <cell r="G483">
            <v>101754</v>
          </cell>
        </row>
        <row r="484">
          <cell r="C484">
            <v>3793033</v>
          </cell>
          <cell r="D484">
            <v>3376548</v>
          </cell>
          <cell r="E484">
            <v>31271490</v>
          </cell>
          <cell r="F484">
            <v>4390801</v>
          </cell>
          <cell r="G484">
            <v>101799</v>
          </cell>
        </row>
        <row r="485">
          <cell r="C485">
            <v>3809193</v>
          </cell>
          <cell r="D485">
            <v>3387022</v>
          </cell>
          <cell r="E485">
            <v>31349456</v>
          </cell>
          <cell r="F485">
            <v>4393328</v>
          </cell>
          <cell r="G485">
            <v>101822</v>
          </cell>
        </row>
        <row r="486">
          <cell r="C486">
            <v>3826156</v>
          </cell>
          <cell r="D486">
            <v>3396685</v>
          </cell>
          <cell r="E486">
            <v>31424859</v>
          </cell>
          <cell r="F486">
            <v>4396096</v>
          </cell>
          <cell r="G486">
            <v>101861</v>
          </cell>
        </row>
        <row r="487">
          <cell r="C487">
            <v>3842079</v>
          </cell>
          <cell r="D487">
            <v>3407283</v>
          </cell>
          <cell r="E487">
            <v>31499167</v>
          </cell>
          <cell r="F487">
            <v>4398903</v>
          </cell>
          <cell r="G487">
            <v>101901</v>
          </cell>
        </row>
        <row r="488">
          <cell r="C488">
            <v>3857443</v>
          </cell>
          <cell r="D488">
            <v>3407283</v>
          </cell>
          <cell r="E488">
            <v>31579238</v>
          </cell>
          <cell r="F488">
            <v>4401176</v>
          </cell>
          <cell r="G488">
            <v>101920</v>
          </cell>
        </row>
        <row r="489">
          <cell r="C489">
            <v>3870131</v>
          </cell>
          <cell r="D489">
            <v>3407283</v>
          </cell>
          <cell r="E489">
            <v>31631770</v>
          </cell>
          <cell r="F489">
            <v>4403058</v>
          </cell>
          <cell r="G489">
            <v>101953</v>
          </cell>
        </row>
        <row r="490">
          <cell r="C490">
            <v>3878994</v>
          </cell>
          <cell r="D490">
            <v>3428354</v>
          </cell>
          <cell r="E490">
            <v>31673891</v>
          </cell>
          <cell r="F490">
            <v>4406023</v>
          </cell>
          <cell r="G490">
            <v>101984</v>
          </cell>
        </row>
        <row r="491">
          <cell r="C491">
            <v>3891063</v>
          </cell>
          <cell r="D491">
            <v>3428354</v>
          </cell>
          <cell r="E491">
            <v>31741996</v>
          </cell>
          <cell r="F491">
            <v>4408644</v>
          </cell>
          <cell r="G491">
            <v>102012</v>
          </cell>
        </row>
        <row r="492">
          <cell r="C492">
            <v>3904899</v>
          </cell>
          <cell r="D492">
            <v>3446072</v>
          </cell>
          <cell r="E492">
            <v>31802945</v>
          </cell>
          <cell r="F492">
            <v>4411068</v>
          </cell>
          <cell r="G492">
            <v>102027</v>
          </cell>
        </row>
        <row r="493">
          <cell r="C493">
            <v>3920945</v>
          </cell>
          <cell r="D493">
            <v>3456886</v>
          </cell>
          <cell r="E493">
            <v>31865800</v>
          </cell>
          <cell r="F493">
            <v>4413834</v>
          </cell>
          <cell r="G493">
            <v>102056</v>
          </cell>
        </row>
        <row r="494">
          <cell r="C494">
            <v>3935703</v>
          </cell>
          <cell r="D494">
            <v>3468617</v>
          </cell>
          <cell r="E494">
            <v>31933078</v>
          </cell>
          <cell r="F494">
            <v>4416588</v>
          </cell>
          <cell r="G494">
            <v>102078</v>
          </cell>
        </row>
        <row r="495">
          <cell r="C495">
            <v>3949517</v>
          </cell>
          <cell r="D495">
            <v>3468617</v>
          </cell>
          <cell r="E495">
            <v>31995489</v>
          </cell>
          <cell r="F495">
            <v>4418710</v>
          </cell>
          <cell r="G495">
            <v>102103</v>
          </cell>
        </row>
        <row r="496">
          <cell r="C496">
            <v>3962674</v>
          </cell>
          <cell r="D496">
            <v>3468617</v>
          </cell>
          <cell r="E496">
            <v>32048984</v>
          </cell>
          <cell r="F496">
            <v>4420443</v>
          </cell>
          <cell r="G496">
            <v>102118</v>
          </cell>
        </row>
        <row r="497">
          <cell r="C497">
            <v>3971114</v>
          </cell>
          <cell r="D497">
            <v>3488469</v>
          </cell>
          <cell r="E497">
            <v>32081137</v>
          </cell>
          <cell r="F497">
            <v>4422562</v>
          </cell>
          <cell r="G497">
            <v>102124</v>
          </cell>
        </row>
        <row r="498">
          <cell r="C498">
            <v>3981512</v>
          </cell>
          <cell r="D498">
            <v>3496134</v>
          </cell>
          <cell r="E498">
            <v>32128705</v>
          </cell>
          <cell r="F498">
            <v>4425259</v>
          </cell>
          <cell r="G498">
            <v>102167</v>
          </cell>
        </row>
        <row r="499">
          <cell r="C499">
            <v>3994894</v>
          </cell>
          <cell r="D499">
            <v>3504799</v>
          </cell>
          <cell r="E499">
            <v>32179541</v>
          </cell>
          <cell r="F499">
            <v>4427390</v>
          </cell>
          <cell r="G499">
            <v>102201</v>
          </cell>
        </row>
        <row r="500">
          <cell r="C500">
            <v>4009208</v>
          </cell>
          <cell r="D500">
            <v>3514942</v>
          </cell>
          <cell r="E500">
            <v>32234691</v>
          </cell>
          <cell r="F500">
            <v>4429849</v>
          </cell>
          <cell r="G500">
            <v>102242</v>
          </cell>
        </row>
        <row r="501">
          <cell r="C501">
            <v>4022653</v>
          </cell>
          <cell r="D501">
            <v>3524077</v>
          </cell>
          <cell r="E501">
            <v>32292942</v>
          </cell>
          <cell r="F501">
            <v>4432246</v>
          </cell>
          <cell r="G501">
            <v>102264</v>
          </cell>
        </row>
        <row r="502">
          <cell r="C502">
            <v>4035617</v>
          </cell>
          <cell r="D502">
            <v>3524077</v>
          </cell>
          <cell r="E502">
            <v>32350861</v>
          </cell>
          <cell r="F502">
            <v>4434157</v>
          </cell>
          <cell r="G502">
            <v>102293</v>
          </cell>
        </row>
        <row r="503">
          <cell r="C503">
            <v>4044762</v>
          </cell>
          <cell r="D503">
            <v>3524077</v>
          </cell>
          <cell r="E503">
            <v>32396252</v>
          </cell>
          <cell r="F503">
            <v>4435831</v>
          </cell>
          <cell r="G503">
            <v>102300</v>
          </cell>
        </row>
        <row r="504">
          <cell r="C504">
            <v>4050708</v>
          </cell>
          <cell r="D504">
            <v>3540430</v>
          </cell>
          <cell r="E504">
            <v>32425655</v>
          </cell>
          <cell r="F504">
            <v>4437505</v>
          </cell>
          <cell r="G504">
            <v>102333</v>
          </cell>
        </row>
        <row r="505">
          <cell r="C505">
            <v>4059821</v>
          </cell>
          <cell r="D505">
            <v>3544945</v>
          </cell>
          <cell r="E505">
            <v>32476146</v>
          </cell>
          <cell r="F505">
            <v>4439489</v>
          </cell>
          <cell r="G505">
            <v>102351</v>
          </cell>
        </row>
        <row r="506">
          <cell r="C506">
            <v>4070400</v>
          </cell>
          <cell r="D506">
            <v>3551262</v>
          </cell>
          <cell r="E506">
            <v>32516869</v>
          </cell>
          <cell r="F506">
            <v>4441644</v>
          </cell>
          <cell r="G506">
            <v>102367</v>
          </cell>
        </row>
        <row r="507">
          <cell r="C507">
            <v>4082198</v>
          </cell>
          <cell r="D507">
            <v>3559222</v>
          </cell>
          <cell r="E507">
            <v>32561573</v>
          </cell>
          <cell r="F507">
            <v>4444262</v>
          </cell>
          <cell r="G507">
            <v>102384</v>
          </cell>
        </row>
        <row r="508">
          <cell r="C508">
            <v>4092747</v>
          </cell>
          <cell r="D508">
            <v>3567408</v>
          </cell>
          <cell r="E508">
            <v>32609130</v>
          </cell>
          <cell r="F508">
            <v>4446752</v>
          </cell>
          <cell r="G508">
            <v>102399</v>
          </cell>
        </row>
        <row r="509">
          <cell r="C509">
            <v>4102921</v>
          </cell>
          <cell r="D509">
            <v>3567408</v>
          </cell>
          <cell r="E509">
            <v>32657260</v>
          </cell>
          <cell r="F509">
            <v>4448808</v>
          </cell>
          <cell r="G509">
            <v>102419</v>
          </cell>
        </row>
        <row r="510">
          <cell r="C510">
            <v>4111210</v>
          </cell>
          <cell r="D510">
            <v>3567408</v>
          </cell>
          <cell r="E510">
            <v>32690935</v>
          </cell>
          <cell r="F510">
            <v>4450578</v>
          </cell>
          <cell r="G510">
            <v>102446</v>
          </cell>
        </row>
        <row r="511">
          <cell r="C511">
            <v>4116287</v>
          </cell>
          <cell r="D511">
            <v>3581392</v>
          </cell>
          <cell r="E511">
            <v>32712362</v>
          </cell>
          <cell r="F511">
            <v>4452956</v>
          </cell>
          <cell r="G511">
            <v>102474</v>
          </cell>
        </row>
        <row r="512">
          <cell r="C512">
            <v>4123230</v>
          </cell>
          <cell r="D512">
            <v>3586333</v>
          </cell>
          <cell r="E512">
            <v>32749160</v>
          </cell>
          <cell r="F512">
            <v>4455446</v>
          </cell>
          <cell r="G512">
            <v>102494</v>
          </cell>
        </row>
        <row r="513">
          <cell r="C513">
            <v>4131078</v>
          </cell>
          <cell r="D513">
            <v>3592751</v>
          </cell>
          <cell r="E513">
            <v>32782822</v>
          </cell>
          <cell r="F513">
            <v>4457742</v>
          </cell>
          <cell r="G513">
            <v>102517</v>
          </cell>
        </row>
        <row r="514">
          <cell r="C514">
            <v>4139160</v>
          </cell>
          <cell r="D514">
            <v>3598452</v>
          </cell>
          <cell r="E514">
            <v>32818648</v>
          </cell>
          <cell r="F514">
            <v>4460405</v>
          </cell>
          <cell r="G514">
            <v>102530</v>
          </cell>
        </row>
        <row r="515">
          <cell r="C515">
            <v>4146722</v>
          </cell>
          <cell r="D515">
            <v>3604799</v>
          </cell>
          <cell r="E515">
            <v>32856724</v>
          </cell>
          <cell r="F515">
            <v>4462603</v>
          </cell>
          <cell r="G515">
            <v>102549</v>
          </cell>
        </row>
        <row r="516">
          <cell r="C516">
            <v>4153374</v>
          </cell>
          <cell r="D516">
            <v>3604799</v>
          </cell>
          <cell r="E516">
            <v>32898984</v>
          </cell>
          <cell r="F516">
            <v>4464663</v>
          </cell>
          <cell r="G516">
            <v>102560</v>
          </cell>
        </row>
        <row r="517">
          <cell r="C517">
            <v>4159122</v>
          </cell>
          <cell r="D517">
            <v>3604799</v>
          </cell>
          <cell r="E517">
            <v>32927841</v>
          </cell>
          <cell r="F517">
            <v>4466589</v>
          </cell>
          <cell r="G517">
            <v>102571</v>
          </cell>
        </row>
        <row r="518">
          <cell r="C518">
            <v>4162576</v>
          </cell>
          <cell r="D518">
            <v>3615860</v>
          </cell>
          <cell r="E518">
            <v>32944716</v>
          </cell>
          <cell r="F518">
            <v>4468582</v>
          </cell>
          <cell r="G518">
            <v>102586</v>
          </cell>
        </row>
        <row r="519">
          <cell r="C519">
            <v>4167025</v>
          </cell>
          <cell r="D519">
            <v>3619848</v>
          </cell>
          <cell r="E519">
            <v>32973337</v>
          </cell>
          <cell r="F519">
            <v>4466220</v>
          </cell>
          <cell r="G519">
            <v>102596</v>
          </cell>
        </row>
        <row r="520">
          <cell r="C520">
            <v>4172525</v>
          </cell>
          <cell r="D520">
            <v>3625928</v>
          </cell>
          <cell r="E520">
            <v>33001126</v>
          </cell>
          <cell r="F520">
            <v>4468366</v>
          </cell>
          <cell r="G520">
            <v>102613</v>
          </cell>
        </row>
        <row r="521">
          <cell r="C521">
            <v>4178261</v>
          </cell>
          <cell r="D521">
            <v>3631661</v>
          </cell>
          <cell r="E521">
            <v>33030427</v>
          </cell>
          <cell r="F521">
            <v>4471065</v>
          </cell>
          <cell r="G521">
            <v>102625</v>
          </cell>
        </row>
        <row r="522">
          <cell r="C522">
            <v>4183476</v>
          </cell>
          <cell r="D522">
            <v>3636453</v>
          </cell>
          <cell r="E522">
            <v>33060633</v>
          </cell>
          <cell r="F522">
            <v>4473773</v>
          </cell>
          <cell r="G522">
            <v>102643</v>
          </cell>
        </row>
        <row r="523">
          <cell r="C523">
            <v>4188190</v>
          </cell>
          <cell r="D523">
            <v>3636453</v>
          </cell>
          <cell r="E523">
            <v>33088579</v>
          </cell>
          <cell r="F523">
            <v>4476297</v>
          </cell>
          <cell r="G523">
            <v>102660</v>
          </cell>
        </row>
        <row r="524">
          <cell r="C524">
            <v>4192183</v>
          </cell>
          <cell r="D524">
            <v>3636453</v>
          </cell>
          <cell r="E524">
            <v>33108377</v>
          </cell>
          <cell r="F524">
            <v>4478390</v>
          </cell>
          <cell r="G524">
            <v>102671</v>
          </cell>
        </row>
        <row r="525">
          <cell r="C525">
            <v>4194672</v>
          </cell>
          <cell r="D525">
            <v>3647520</v>
          </cell>
          <cell r="E525">
            <v>33121245</v>
          </cell>
          <cell r="F525">
            <v>4480760</v>
          </cell>
          <cell r="G525">
            <v>102681</v>
          </cell>
        </row>
        <row r="526">
          <cell r="C526">
            <v>4197892</v>
          </cell>
          <cell r="D526">
            <v>3652879</v>
          </cell>
          <cell r="E526">
            <v>33147060</v>
          </cell>
          <cell r="F526">
            <v>4483177</v>
          </cell>
          <cell r="G526">
            <v>102696</v>
          </cell>
        </row>
        <row r="527">
          <cell r="C527">
            <v>4201827</v>
          </cell>
          <cell r="D527">
            <v>3657886</v>
          </cell>
          <cell r="E527">
            <v>33169799</v>
          </cell>
          <cell r="F527">
            <v>4486168</v>
          </cell>
          <cell r="G527">
            <v>102717</v>
          </cell>
        </row>
        <row r="528">
          <cell r="C528">
            <v>4205970</v>
          </cell>
          <cell r="D528">
            <v>3663176</v>
          </cell>
          <cell r="E528">
            <v>33193775</v>
          </cell>
          <cell r="F528">
            <v>4489552</v>
          </cell>
          <cell r="G528">
            <v>102746</v>
          </cell>
        </row>
        <row r="529">
          <cell r="C529">
            <v>4209707</v>
          </cell>
          <cell r="D529">
            <v>3668658</v>
          </cell>
          <cell r="E529">
            <v>33221223</v>
          </cell>
          <cell r="F529">
            <v>4493582</v>
          </cell>
          <cell r="G529">
            <v>102769</v>
          </cell>
        </row>
        <row r="530">
          <cell r="C530">
            <v>4213055</v>
          </cell>
          <cell r="D530">
            <v>3668658</v>
          </cell>
          <cell r="E530">
            <v>33243082</v>
          </cell>
          <cell r="F530">
            <v>4496823</v>
          </cell>
          <cell r="G530">
            <v>102784</v>
          </cell>
        </row>
        <row r="531">
          <cell r="C531">
            <v>4216003</v>
          </cell>
          <cell r="D531">
            <v>3668658</v>
          </cell>
          <cell r="E531">
            <v>33255083</v>
          </cell>
          <cell r="F531">
            <v>4499937</v>
          </cell>
          <cell r="G531">
            <v>102797</v>
          </cell>
        </row>
        <row r="532">
          <cell r="C532">
            <v>4217821</v>
          </cell>
          <cell r="D532">
            <v>3678390</v>
          </cell>
          <cell r="E532">
            <v>33261817</v>
          </cell>
          <cell r="F532">
            <v>4503231</v>
          </cell>
          <cell r="G532">
            <v>102822</v>
          </cell>
        </row>
        <row r="533">
          <cell r="C533">
            <v>4220304</v>
          </cell>
          <cell r="D533">
            <v>3682778</v>
          </cell>
          <cell r="E533">
            <v>33267592</v>
          </cell>
          <cell r="F533">
            <v>4506333</v>
          </cell>
          <cell r="G533">
            <v>102833</v>
          </cell>
        </row>
        <row r="534">
          <cell r="C534">
            <v>4223200</v>
          </cell>
          <cell r="D534">
            <v>3687762</v>
          </cell>
          <cell r="E534">
            <v>33290532</v>
          </cell>
          <cell r="F534">
            <v>4510597</v>
          </cell>
          <cell r="G534">
            <v>102853</v>
          </cell>
        </row>
        <row r="535">
          <cell r="C535">
            <v>4225163</v>
          </cell>
          <cell r="D535">
            <v>3693012</v>
          </cell>
          <cell r="E535">
            <v>33307449</v>
          </cell>
          <cell r="F535">
            <v>4515778</v>
          </cell>
          <cell r="G535">
            <v>102873</v>
          </cell>
        </row>
        <row r="536">
          <cell r="C536">
            <v>4227719</v>
          </cell>
          <cell r="D536">
            <v>3697981</v>
          </cell>
          <cell r="E536">
            <v>33326529</v>
          </cell>
          <cell r="F536">
            <v>4521922</v>
          </cell>
          <cell r="G536">
            <v>102890</v>
          </cell>
        </row>
        <row r="537">
          <cell r="C537">
            <v>4230153</v>
          </cell>
          <cell r="D537">
            <v>3697981</v>
          </cell>
          <cell r="E537">
            <v>33343379</v>
          </cell>
          <cell r="F537">
            <v>4527577</v>
          </cell>
          <cell r="G537">
            <v>102905</v>
          </cell>
        </row>
        <row r="538">
          <cell r="C538">
            <v>4232428</v>
          </cell>
          <cell r="D538">
            <v>3697981</v>
          </cell>
          <cell r="E538">
            <v>33357285</v>
          </cell>
          <cell r="F538">
            <v>4532802</v>
          </cell>
          <cell r="G538">
            <v>102925</v>
          </cell>
        </row>
        <row r="539">
          <cell r="C539">
            <v>4233698</v>
          </cell>
          <cell r="D539">
            <v>3707489</v>
          </cell>
          <cell r="E539">
            <v>33362680</v>
          </cell>
          <cell r="F539">
            <v>4538399</v>
          </cell>
          <cell r="G539">
            <v>102932</v>
          </cell>
        </row>
        <row r="540">
          <cell r="C540">
            <v>4235592</v>
          </cell>
          <cell r="D540">
            <v>3711027</v>
          </cell>
          <cell r="E540">
            <v>33378176</v>
          </cell>
          <cell r="F540">
            <v>4544372</v>
          </cell>
          <cell r="G540">
            <v>102948</v>
          </cell>
        </row>
        <row r="541">
          <cell r="C541">
            <v>4237790</v>
          </cell>
          <cell r="D541">
            <v>3715454</v>
          </cell>
          <cell r="E541">
            <v>33391189</v>
          </cell>
          <cell r="F541">
            <v>4551694</v>
          </cell>
          <cell r="G541">
            <v>102960</v>
          </cell>
        </row>
        <row r="542">
          <cell r="C542">
            <v>4239868</v>
          </cell>
          <cell r="D542">
            <v>3729458</v>
          </cell>
          <cell r="E542">
            <v>33409836</v>
          </cell>
          <cell r="F542">
            <v>4558933</v>
          </cell>
          <cell r="G542">
            <v>102987</v>
          </cell>
        </row>
        <row r="543">
          <cell r="C543">
            <v>4241760</v>
          </cell>
          <cell r="D543">
            <v>3733600</v>
          </cell>
          <cell r="E543">
            <v>33424381</v>
          </cell>
          <cell r="F543">
            <v>4566893</v>
          </cell>
          <cell r="G543">
            <v>103014</v>
          </cell>
        </row>
        <row r="544">
          <cell r="C544">
            <v>4243482</v>
          </cell>
          <cell r="D544">
            <v>3733600</v>
          </cell>
          <cell r="E544">
            <v>33449080</v>
          </cell>
          <cell r="F544">
            <v>4574445</v>
          </cell>
          <cell r="G544">
            <v>103045</v>
          </cell>
        </row>
        <row r="545">
          <cell r="C545">
            <v>4244872</v>
          </cell>
          <cell r="D545">
            <v>3733600</v>
          </cell>
          <cell r="E545">
            <v>33457308</v>
          </cell>
          <cell r="F545">
            <v>4581779</v>
          </cell>
          <cell r="G545">
            <v>103069</v>
          </cell>
        </row>
        <row r="546">
          <cell r="C546">
            <v>4245779</v>
          </cell>
          <cell r="D546">
            <v>3741767</v>
          </cell>
          <cell r="E546">
            <v>33462085</v>
          </cell>
          <cell r="F546">
            <v>4589398</v>
          </cell>
          <cell r="G546">
            <v>103094</v>
          </cell>
        </row>
        <row r="547">
          <cell r="C547">
            <v>4247032</v>
          </cell>
          <cell r="D547">
            <v>3745199</v>
          </cell>
          <cell r="E547">
            <v>33474815</v>
          </cell>
          <cell r="F547">
            <v>4596994</v>
          </cell>
          <cell r="G547">
            <v>103119</v>
          </cell>
        </row>
        <row r="548">
          <cell r="C548">
            <v>4248432</v>
          </cell>
          <cell r="D548">
            <v>3749031</v>
          </cell>
          <cell r="E548">
            <v>33486120</v>
          </cell>
          <cell r="F548">
            <v>4605805</v>
          </cell>
          <cell r="G548">
            <v>103150</v>
          </cell>
        </row>
        <row r="549">
          <cell r="C549">
            <v>4249755</v>
          </cell>
          <cell r="D549">
            <v>3753228</v>
          </cell>
          <cell r="E549">
            <v>33498545</v>
          </cell>
          <cell r="F549">
            <v>4616616</v>
          </cell>
          <cell r="G549">
            <v>103176</v>
          </cell>
        </row>
        <row r="550">
          <cell r="C550">
            <v>4250902</v>
          </cell>
          <cell r="D550">
            <v>3757442</v>
          </cell>
          <cell r="E550">
            <v>33508938</v>
          </cell>
          <cell r="F550">
            <v>4626915</v>
          </cell>
          <cell r="G550">
            <v>103216</v>
          </cell>
        </row>
        <row r="551">
          <cell r="C551">
            <v>4252095</v>
          </cell>
          <cell r="D551">
            <v>3757442</v>
          </cell>
          <cell r="E551">
            <v>33529529</v>
          </cell>
          <cell r="F551">
            <v>4636991</v>
          </cell>
          <cell r="G551">
            <v>103235</v>
          </cell>
        </row>
        <row r="552">
          <cell r="C552">
            <v>4252976</v>
          </cell>
          <cell r="D552">
            <v>3757442</v>
          </cell>
          <cell r="E552">
            <v>33538049</v>
          </cell>
          <cell r="F552">
            <v>4646068</v>
          </cell>
          <cell r="G552">
            <v>103261</v>
          </cell>
        </row>
        <row r="553">
          <cell r="C553">
            <v>4253456</v>
          </cell>
          <cell r="D553">
            <v>3764651</v>
          </cell>
          <cell r="E553">
            <v>33541941</v>
          </cell>
          <cell r="F553">
            <v>4656536</v>
          </cell>
          <cell r="G553">
            <v>103285</v>
          </cell>
        </row>
        <row r="554">
          <cell r="C554">
            <v>4254294</v>
          </cell>
          <cell r="D554">
            <v>3768691</v>
          </cell>
          <cell r="E554">
            <v>33554275</v>
          </cell>
          <cell r="F554">
            <v>4668043</v>
          </cell>
          <cell r="G554">
            <v>103320</v>
          </cell>
        </row>
        <row r="555">
          <cell r="C555">
            <v>4255434</v>
          </cell>
          <cell r="D555">
            <v>3773032</v>
          </cell>
          <cell r="E555">
            <v>33565215</v>
          </cell>
          <cell r="F555">
            <v>4683986</v>
          </cell>
          <cell r="G555">
            <v>103357</v>
          </cell>
        </row>
        <row r="556">
          <cell r="C556">
            <v>4255700</v>
          </cell>
          <cell r="D556">
            <v>3777539</v>
          </cell>
          <cell r="E556">
            <v>33577651</v>
          </cell>
          <cell r="F556">
            <v>4700691</v>
          </cell>
          <cell r="G556">
            <v>103380</v>
          </cell>
        </row>
        <row r="557">
          <cell r="C557">
            <v>4256451</v>
          </cell>
          <cell r="D557">
            <v>3782463</v>
          </cell>
          <cell r="E557">
            <v>33590481</v>
          </cell>
          <cell r="F557">
            <v>4716065</v>
          </cell>
          <cell r="G557">
            <v>103401</v>
          </cell>
        </row>
        <row r="558">
          <cell r="C558">
            <v>4257289</v>
          </cell>
          <cell r="D558">
            <v>3782463</v>
          </cell>
          <cell r="E558">
            <v>33614196</v>
          </cell>
          <cell r="F558">
            <v>4734011</v>
          </cell>
          <cell r="G558">
            <v>103424</v>
          </cell>
        </row>
        <row r="559">
          <cell r="C559">
            <v>4258069</v>
          </cell>
          <cell r="D559">
            <v>3782463</v>
          </cell>
          <cell r="E559">
            <v>33621499</v>
          </cell>
          <cell r="F559">
            <v>4748644</v>
          </cell>
          <cell r="G559">
            <v>103444</v>
          </cell>
        </row>
        <row r="560">
          <cell r="C560">
            <v>4258456</v>
          </cell>
          <cell r="D560">
            <v>3792642</v>
          </cell>
          <cell r="E560">
            <v>33625419</v>
          </cell>
          <cell r="F560">
            <v>4771367</v>
          </cell>
          <cell r="G560">
            <v>103444</v>
          </cell>
        </row>
        <row r="561">
          <cell r="C561">
            <v>4259133</v>
          </cell>
          <cell r="D561">
            <v>3799733</v>
          </cell>
          <cell r="E561">
            <v>33640502</v>
          </cell>
          <cell r="F561">
            <v>4791628</v>
          </cell>
          <cell r="G561">
            <v>103501</v>
          </cell>
        </row>
        <row r="562">
          <cell r="C562">
            <v>4259909</v>
          </cell>
          <cell r="D562">
            <v>3808960</v>
          </cell>
          <cell r="E562">
            <v>33651852</v>
          </cell>
          <cell r="F562">
            <v>4817298</v>
          </cell>
          <cell r="G562">
            <v>103525</v>
          </cell>
        </row>
        <row r="563">
          <cell r="C563">
            <v>4260788</v>
          </cell>
          <cell r="D563">
            <v>3821305</v>
          </cell>
          <cell r="E563">
            <v>33664970</v>
          </cell>
          <cell r="F563">
            <v>4844944</v>
          </cell>
          <cell r="G563">
            <v>103543</v>
          </cell>
        </row>
        <row r="564">
          <cell r="C564">
            <v>4261582</v>
          </cell>
          <cell r="D564">
            <v>3833868</v>
          </cell>
          <cell r="E564">
            <v>33679433</v>
          </cell>
          <cell r="F564">
            <v>4871807</v>
          </cell>
          <cell r="G564">
            <v>103571</v>
          </cell>
        </row>
        <row r="565">
          <cell r="C565">
            <v>4262511</v>
          </cell>
          <cell r="D565">
            <v>3833868</v>
          </cell>
          <cell r="E565">
            <v>33709325</v>
          </cell>
          <cell r="F565">
            <v>4896272</v>
          </cell>
          <cell r="G565">
            <v>103602</v>
          </cell>
        </row>
        <row r="566">
          <cell r="C566">
            <v>4263317</v>
          </cell>
          <cell r="D566">
            <v>3833868</v>
          </cell>
          <cell r="E566">
            <v>33714064</v>
          </cell>
          <cell r="F566">
            <v>4920168</v>
          </cell>
          <cell r="G566">
            <v>103620</v>
          </cell>
        </row>
        <row r="567">
          <cell r="C567">
            <v>4263797</v>
          </cell>
          <cell r="D567">
            <v>3866475</v>
          </cell>
          <cell r="E567">
            <v>33717761</v>
          </cell>
          <cell r="F567">
            <v>4947274</v>
          </cell>
          <cell r="G567">
            <v>103651</v>
          </cell>
        </row>
        <row r="568">
          <cell r="C568">
            <v>4264704</v>
          </cell>
          <cell r="D568">
            <v>3880612</v>
          </cell>
          <cell r="E568">
            <v>33723289</v>
          </cell>
          <cell r="F568">
            <v>4975903</v>
          </cell>
          <cell r="G568">
            <v>103680</v>
          </cell>
        </row>
        <row r="569">
          <cell r="C569">
            <v>4265714</v>
          </cell>
          <cell r="D569">
            <v>3897996</v>
          </cell>
          <cell r="E569">
            <v>33747513</v>
          </cell>
          <cell r="F569">
            <v>5007964</v>
          </cell>
          <cell r="G569">
            <v>103696</v>
          </cell>
        </row>
        <row r="570">
          <cell r="C570">
            <v>4267105</v>
          </cell>
          <cell r="D570">
            <v>3915313</v>
          </cell>
          <cell r="E570">
            <v>33770444</v>
          </cell>
          <cell r="F570">
            <v>5040053</v>
          </cell>
          <cell r="G570">
            <v>103724</v>
          </cell>
        </row>
        <row r="571">
          <cell r="C571">
            <v>4268491</v>
          </cell>
          <cell r="D571">
            <v>3937192</v>
          </cell>
          <cell r="E571">
            <v>33790505</v>
          </cell>
          <cell r="F571">
            <v>5075945</v>
          </cell>
          <cell r="G571">
            <v>103745</v>
          </cell>
        </row>
        <row r="572">
          <cell r="C572">
            <v>4269885</v>
          </cell>
          <cell r="D572">
            <v>3937192</v>
          </cell>
          <cell r="E572">
            <v>33838746</v>
          </cell>
          <cell r="F572">
            <v>5107780</v>
          </cell>
          <cell r="G572">
            <v>103755</v>
          </cell>
        </row>
        <row r="573">
          <cell r="C573">
            <v>4271276</v>
          </cell>
          <cell r="D573">
            <v>3937192</v>
          </cell>
          <cell r="E573">
            <v>33847784</v>
          </cell>
          <cell r="F573">
            <v>5139162</v>
          </cell>
          <cell r="G573">
            <v>103769</v>
          </cell>
        </row>
        <row r="574">
          <cell r="C574">
            <v>4272163</v>
          </cell>
          <cell r="D574">
            <v>3971124</v>
          </cell>
          <cell r="E574">
            <v>33853948</v>
          </cell>
          <cell r="F574">
            <v>5173972</v>
          </cell>
          <cell r="G574">
            <v>103791</v>
          </cell>
        </row>
        <row r="575">
          <cell r="C575">
            <v>4273693</v>
          </cell>
          <cell r="D575">
            <v>4015084</v>
          </cell>
          <cell r="E575">
            <v>33888961</v>
          </cell>
          <cell r="F575">
            <v>5210472</v>
          </cell>
          <cell r="G575">
            <v>103825</v>
          </cell>
        </row>
        <row r="576">
          <cell r="C576">
            <v>4275846</v>
          </cell>
          <cell r="D576">
            <v>4041474</v>
          </cell>
          <cell r="E576">
            <v>33915385</v>
          </cell>
          <cell r="F576">
            <v>5252655</v>
          </cell>
          <cell r="G576">
            <v>103841</v>
          </cell>
        </row>
        <row r="577">
          <cell r="C577">
            <v>4278319</v>
          </cell>
          <cell r="D577">
            <v>4069162</v>
          </cell>
          <cell r="E577">
            <v>33947230</v>
          </cell>
          <cell r="F577">
            <v>5301296</v>
          </cell>
          <cell r="G577">
            <v>103866</v>
          </cell>
        </row>
        <row r="578">
          <cell r="C578">
            <v>4281214</v>
          </cell>
          <cell r="D578">
            <v>4100222</v>
          </cell>
          <cell r="E578">
            <v>33975642</v>
          </cell>
          <cell r="F578">
            <v>5353245</v>
          </cell>
          <cell r="G578">
            <v>103890</v>
          </cell>
        </row>
        <row r="579">
          <cell r="C579">
            <v>4284332</v>
          </cell>
          <cell r="D579">
            <v>4100222</v>
          </cell>
          <cell r="E579">
            <v>34054952</v>
          </cell>
          <cell r="F579">
            <v>5407428</v>
          </cell>
          <cell r="G579">
            <v>103891</v>
          </cell>
        </row>
        <row r="580">
          <cell r="C580">
            <v>4287458</v>
          </cell>
          <cell r="D580">
            <v>4100222</v>
          </cell>
          <cell r="E580">
            <v>34067912</v>
          </cell>
          <cell r="F580">
            <v>5455276</v>
          </cell>
          <cell r="G580">
            <v>103966</v>
          </cell>
        </row>
        <row r="581">
          <cell r="C581">
            <v>4289528</v>
          </cell>
          <cell r="D581">
            <v>4161850</v>
          </cell>
          <cell r="E581">
            <v>34079960</v>
          </cell>
          <cell r="F581">
            <v>5495947</v>
          </cell>
          <cell r="G581">
            <v>103992</v>
          </cell>
        </row>
        <row r="582">
          <cell r="C582">
            <v>4293083</v>
          </cell>
          <cell r="D582">
            <v>4189136</v>
          </cell>
          <cell r="E582">
            <v>34132071</v>
          </cell>
          <cell r="F582">
            <v>5542633</v>
          </cell>
          <cell r="G582">
            <v>103993</v>
          </cell>
        </row>
        <row r="583">
          <cell r="C583">
            <v>4297337</v>
          </cell>
          <cell r="D583">
            <v>4219723</v>
          </cell>
          <cell r="E583">
            <v>34174774</v>
          </cell>
          <cell r="F583">
            <v>5586716</v>
          </cell>
          <cell r="G583">
            <v>104020</v>
          </cell>
        </row>
        <row r="584">
          <cell r="C584">
            <v>4302393</v>
          </cell>
          <cell r="D584">
            <v>4249258</v>
          </cell>
          <cell r="E584">
            <v>34226806</v>
          </cell>
          <cell r="F584">
            <v>5626745</v>
          </cell>
          <cell r="G584">
            <v>104072</v>
          </cell>
        </row>
        <row r="585">
          <cell r="C585">
            <v>4307535</v>
          </cell>
          <cell r="D585">
            <v>4280429</v>
          </cell>
          <cell r="E585">
            <v>34283648</v>
          </cell>
          <cell r="F585">
            <v>5662838</v>
          </cell>
          <cell r="G585">
            <v>104101</v>
          </cell>
        </row>
        <row r="586">
          <cell r="C586">
            <v>4312673</v>
          </cell>
          <cell r="D586">
            <v>4280429</v>
          </cell>
          <cell r="E586">
            <v>34402806</v>
          </cell>
          <cell r="F586">
            <v>5694462</v>
          </cell>
          <cell r="G586">
            <v>104126</v>
          </cell>
        </row>
        <row r="587">
          <cell r="C587">
            <v>4317415</v>
          </cell>
          <cell r="D587">
            <v>4280429</v>
          </cell>
          <cell r="E587">
            <v>34430608</v>
          </cell>
          <cell r="F587">
            <v>5723399</v>
          </cell>
          <cell r="G587">
            <v>104157</v>
          </cell>
        </row>
        <row r="588">
          <cell r="C588">
            <v>4320530</v>
          </cell>
          <cell r="D588">
            <v>4342054</v>
          </cell>
          <cell r="E588">
            <v>34443821</v>
          </cell>
          <cell r="F588">
            <v>5747808</v>
          </cell>
          <cell r="G588">
            <v>104193</v>
          </cell>
        </row>
        <row r="589">
          <cell r="C589">
            <v>4325046</v>
          </cell>
          <cell r="D589">
            <v>4368453</v>
          </cell>
          <cell r="E589">
            <v>34533179</v>
          </cell>
          <cell r="F589">
            <v>5771732</v>
          </cell>
          <cell r="G589">
            <v>104224</v>
          </cell>
        </row>
        <row r="590">
          <cell r="C590">
            <v>4330739</v>
          </cell>
          <cell r="D590">
            <v>4395602</v>
          </cell>
          <cell r="E590">
            <v>34603919</v>
          </cell>
          <cell r="F590">
            <v>5797445</v>
          </cell>
          <cell r="G590">
            <v>104257</v>
          </cell>
        </row>
        <row r="591">
          <cell r="C591">
            <v>4336906</v>
          </cell>
          <cell r="D591">
            <v>4422291</v>
          </cell>
          <cell r="E591">
            <v>34672690</v>
          </cell>
          <cell r="F591">
            <v>5828316</v>
          </cell>
          <cell r="G591">
            <v>104290</v>
          </cell>
        </row>
        <row r="592">
          <cell r="C592">
            <v>4343519</v>
          </cell>
          <cell r="D592">
            <v>4447044</v>
          </cell>
          <cell r="E592">
            <v>34750860</v>
          </cell>
          <cell r="F592">
            <v>5857639</v>
          </cell>
          <cell r="G592">
            <v>104355</v>
          </cell>
        </row>
        <row r="593">
          <cell r="C593">
            <v>4350028</v>
          </cell>
          <cell r="D593">
            <v>4447044</v>
          </cell>
          <cell r="E593">
            <v>34945468</v>
          </cell>
          <cell r="F593">
            <v>5883421</v>
          </cell>
          <cell r="G593">
            <v>104362</v>
          </cell>
        </row>
        <row r="594">
          <cell r="C594">
            <v>4355348</v>
          </cell>
          <cell r="D594">
            <v>4447044</v>
          </cell>
          <cell r="E594">
            <v>34978276</v>
          </cell>
          <cell r="F594">
            <v>5907594</v>
          </cell>
          <cell r="G594">
            <v>104440</v>
          </cell>
        </row>
        <row r="595">
          <cell r="C595">
            <v>4358533</v>
          </cell>
          <cell r="D595">
            <v>4502983</v>
          </cell>
          <cell r="E595">
            <v>35003417</v>
          </cell>
          <cell r="F595">
            <v>5929881</v>
          </cell>
          <cell r="G595">
            <v>104489</v>
          </cell>
        </row>
        <row r="596">
          <cell r="C596">
            <v>4363374</v>
          </cell>
          <cell r="D596">
            <v>4523310</v>
          </cell>
          <cell r="E596">
            <v>35131393</v>
          </cell>
          <cell r="F596">
            <v>5951736</v>
          </cell>
          <cell r="G596">
            <v>104491</v>
          </cell>
        </row>
        <row r="597">
          <cell r="C597">
            <v>4369964</v>
          </cell>
          <cell r="D597">
            <v>4544576</v>
          </cell>
          <cell r="E597">
            <v>35237950</v>
          </cell>
          <cell r="F597">
            <v>5980887</v>
          </cell>
          <cell r="G597">
            <v>104562</v>
          </cell>
        </row>
        <row r="598">
          <cell r="C598">
            <v>4377188</v>
          </cell>
          <cell r="D598">
            <v>4566571</v>
          </cell>
          <cell r="E598">
            <v>35330664</v>
          </cell>
          <cell r="F598">
            <v>6010896</v>
          </cell>
          <cell r="G598">
            <v>104642</v>
          </cell>
        </row>
        <row r="599">
          <cell r="C599">
            <v>4383787</v>
          </cell>
          <cell r="D599">
            <v>4588132</v>
          </cell>
          <cell r="E599">
            <v>35440488</v>
          </cell>
          <cell r="F599">
            <v>6042529</v>
          </cell>
          <cell r="G599">
            <v>104713</v>
          </cell>
        </row>
        <row r="600">
          <cell r="C600">
            <v>4390684</v>
          </cell>
          <cell r="D600">
            <v>4588132</v>
          </cell>
          <cell r="E600">
            <v>35695469</v>
          </cell>
          <cell r="F600">
            <v>6070873</v>
          </cell>
          <cell r="G600">
            <v>104798</v>
          </cell>
        </row>
        <row r="601">
          <cell r="C601">
            <v>4396417</v>
          </cell>
          <cell r="D601">
            <v>4588132</v>
          </cell>
          <cell r="E601">
            <v>35739551</v>
          </cell>
          <cell r="F601">
            <v>6098117</v>
          </cell>
          <cell r="G601">
            <v>104850</v>
          </cell>
        </row>
        <row r="602">
          <cell r="C602">
            <v>4400617</v>
          </cell>
          <cell r="D602">
            <v>4627770</v>
          </cell>
          <cell r="E602">
            <v>35763785</v>
          </cell>
          <cell r="F602">
            <v>6123173</v>
          </cell>
          <cell r="G602">
            <v>104916</v>
          </cell>
        </row>
        <row r="603">
          <cell r="C603">
            <v>4400617</v>
          </cell>
          <cell r="D603">
            <v>4627770</v>
          </cell>
          <cell r="E603">
            <v>35947913</v>
          </cell>
          <cell r="F603">
            <v>6123191</v>
          </cell>
          <cell r="G603">
            <v>104973</v>
          </cell>
        </row>
        <row r="604">
          <cell r="C604"/>
          <cell r="D604"/>
          <cell r="E604">
            <v>35952606</v>
          </cell>
          <cell r="F604"/>
          <cell r="G604">
            <v>105048</v>
          </cell>
        </row>
        <row r="605">
          <cell r="C605"/>
          <cell r="D605"/>
          <cell r="E605"/>
          <cell r="F605"/>
          <cell r="G605">
            <v>105149</v>
          </cell>
        </row>
        <row r="606">
          <cell r="C606"/>
          <cell r="D606"/>
          <cell r="E606"/>
          <cell r="F606"/>
          <cell r="G606">
            <v>105242</v>
          </cell>
        </row>
        <row r="607">
          <cell r="C607"/>
          <cell r="D607"/>
          <cell r="E607"/>
          <cell r="F607"/>
          <cell r="G607">
            <v>105346</v>
          </cell>
        </row>
        <row r="608">
          <cell r="C608"/>
          <cell r="D608"/>
          <cell r="E608"/>
          <cell r="F608"/>
          <cell r="G608">
            <v>105435</v>
          </cell>
        </row>
        <row r="609">
          <cell r="C609"/>
          <cell r="D609"/>
          <cell r="E609"/>
          <cell r="F609"/>
          <cell r="G609">
            <v>105563</v>
          </cell>
        </row>
        <row r="610">
          <cell r="C610"/>
          <cell r="D610"/>
          <cell r="E610"/>
          <cell r="F610"/>
          <cell r="G610">
            <v>105672</v>
          </cell>
        </row>
        <row r="611">
          <cell r="C611"/>
          <cell r="D611"/>
          <cell r="E611"/>
          <cell r="F611"/>
          <cell r="G611">
            <v>105775</v>
          </cell>
        </row>
        <row r="612">
          <cell r="C612"/>
          <cell r="D612"/>
          <cell r="E612"/>
          <cell r="F612"/>
          <cell r="G612">
            <v>105902</v>
          </cell>
        </row>
        <row r="613">
          <cell r="C613"/>
          <cell r="D613"/>
          <cell r="E613"/>
          <cell r="F613"/>
          <cell r="G613">
            <v>106047</v>
          </cell>
        </row>
        <row r="614">
          <cell r="C614"/>
          <cell r="D614"/>
          <cell r="E614"/>
          <cell r="F614"/>
          <cell r="G614">
            <v>106051</v>
          </cell>
        </row>
        <row r="615">
          <cell r="C615"/>
          <cell r="D615"/>
          <cell r="E615"/>
          <cell r="F615"/>
          <cell r="G615"/>
        </row>
        <row r="616">
          <cell r="C616"/>
          <cell r="D616"/>
          <cell r="E616"/>
          <cell r="F616"/>
          <cell r="G616"/>
        </row>
        <row r="617">
          <cell r="C617"/>
          <cell r="D617"/>
          <cell r="E617"/>
          <cell r="F617"/>
          <cell r="G617"/>
        </row>
        <row r="618">
          <cell r="C618"/>
          <cell r="D618"/>
          <cell r="E618"/>
          <cell r="F618"/>
          <cell r="G618"/>
        </row>
        <row r="619">
          <cell r="C619"/>
          <cell r="D619"/>
          <cell r="E619"/>
          <cell r="F619"/>
          <cell r="G619"/>
        </row>
        <row r="620">
          <cell r="C620"/>
          <cell r="D620"/>
          <cell r="E620"/>
          <cell r="F620"/>
          <cell r="G620"/>
        </row>
        <row r="621">
          <cell r="C621"/>
          <cell r="D621"/>
          <cell r="E621"/>
          <cell r="F621"/>
          <cell r="G621"/>
        </row>
        <row r="622">
          <cell r="C622"/>
          <cell r="D622"/>
          <cell r="E622"/>
          <cell r="F622"/>
          <cell r="G622"/>
        </row>
        <row r="623">
          <cell r="C623"/>
          <cell r="D623"/>
          <cell r="E623"/>
          <cell r="F623"/>
          <cell r="G623"/>
        </row>
        <row r="624">
          <cell r="C624"/>
          <cell r="D624"/>
          <cell r="E624"/>
          <cell r="F624"/>
          <cell r="G624"/>
        </row>
        <row r="625">
          <cell r="C625"/>
          <cell r="D625"/>
          <cell r="E625"/>
          <cell r="F625"/>
          <cell r="G625"/>
        </row>
        <row r="626">
          <cell r="C626"/>
          <cell r="D626"/>
          <cell r="E626"/>
          <cell r="F626"/>
          <cell r="G626"/>
        </row>
        <row r="627">
          <cell r="C627"/>
          <cell r="D627"/>
          <cell r="E627"/>
          <cell r="F627"/>
          <cell r="G627"/>
        </row>
        <row r="628">
          <cell r="C628"/>
          <cell r="D628"/>
          <cell r="E628"/>
          <cell r="F628"/>
          <cell r="G628"/>
        </row>
        <row r="629">
          <cell r="C629"/>
          <cell r="D629"/>
          <cell r="E629"/>
          <cell r="F629"/>
          <cell r="G629"/>
        </row>
        <row r="630">
          <cell r="C630"/>
          <cell r="D630"/>
          <cell r="E630"/>
          <cell r="F630"/>
          <cell r="G630"/>
        </row>
        <row r="631">
          <cell r="C631"/>
          <cell r="D631"/>
          <cell r="E631"/>
          <cell r="F631"/>
          <cell r="G631"/>
        </row>
        <row r="632">
          <cell r="C632"/>
          <cell r="D632"/>
          <cell r="E632"/>
          <cell r="F632"/>
          <cell r="G632"/>
        </row>
        <row r="633">
          <cell r="C633"/>
          <cell r="D633"/>
          <cell r="E633"/>
          <cell r="F633"/>
          <cell r="G633"/>
        </row>
        <row r="634">
          <cell r="C634"/>
          <cell r="D634"/>
          <cell r="E634"/>
          <cell r="F634"/>
          <cell r="G634"/>
        </row>
        <row r="635">
          <cell r="C635"/>
          <cell r="D635"/>
          <cell r="E635"/>
          <cell r="F635"/>
          <cell r="G635"/>
        </row>
        <row r="636">
          <cell r="C636"/>
          <cell r="D636"/>
          <cell r="E636"/>
          <cell r="F636"/>
          <cell r="G636"/>
        </row>
        <row r="637">
          <cell r="C637"/>
          <cell r="D637"/>
          <cell r="E637"/>
          <cell r="F637"/>
          <cell r="G637"/>
        </row>
        <row r="638">
          <cell r="C638"/>
          <cell r="D638"/>
          <cell r="E638"/>
          <cell r="F638"/>
          <cell r="G638"/>
        </row>
        <row r="639">
          <cell r="C639"/>
          <cell r="D639"/>
          <cell r="E639"/>
          <cell r="F639"/>
          <cell r="G639"/>
        </row>
        <row r="640">
          <cell r="C640"/>
          <cell r="D640"/>
          <cell r="E640"/>
          <cell r="F640"/>
          <cell r="G640"/>
        </row>
        <row r="641">
          <cell r="C641"/>
          <cell r="D641"/>
          <cell r="E641"/>
          <cell r="F641"/>
          <cell r="G641"/>
        </row>
        <row r="642">
          <cell r="C642"/>
          <cell r="D642"/>
          <cell r="E642"/>
          <cell r="F642"/>
          <cell r="G642"/>
        </row>
        <row r="643">
          <cell r="C643"/>
          <cell r="D643"/>
          <cell r="E643"/>
          <cell r="F643"/>
          <cell r="G643"/>
        </row>
        <row r="644">
          <cell r="C644"/>
          <cell r="D644"/>
          <cell r="E644"/>
          <cell r="F644"/>
          <cell r="G644"/>
        </row>
        <row r="645">
          <cell r="C645"/>
          <cell r="D645"/>
          <cell r="E645"/>
          <cell r="F645"/>
          <cell r="G645"/>
        </row>
        <row r="646">
          <cell r="C646"/>
          <cell r="D646"/>
          <cell r="E646"/>
          <cell r="F646"/>
          <cell r="G646"/>
        </row>
        <row r="647">
          <cell r="C647"/>
          <cell r="D647"/>
          <cell r="E647"/>
          <cell r="F647"/>
          <cell r="G647"/>
        </row>
        <row r="648">
          <cell r="C648"/>
          <cell r="D648"/>
          <cell r="E648"/>
          <cell r="F648"/>
          <cell r="G648"/>
        </row>
        <row r="649">
          <cell r="C649"/>
          <cell r="D649"/>
          <cell r="E649"/>
          <cell r="F649"/>
          <cell r="G649"/>
        </row>
        <row r="650">
          <cell r="C650"/>
          <cell r="D650"/>
          <cell r="E650"/>
          <cell r="F650"/>
          <cell r="G650"/>
        </row>
        <row r="651">
          <cell r="C651"/>
          <cell r="D651"/>
          <cell r="E651"/>
          <cell r="F651"/>
          <cell r="G651"/>
        </row>
        <row r="652">
          <cell r="C652"/>
          <cell r="D652"/>
          <cell r="E652"/>
          <cell r="F652"/>
          <cell r="G652"/>
        </row>
        <row r="653">
          <cell r="C653"/>
          <cell r="D653"/>
          <cell r="E653"/>
          <cell r="F653"/>
          <cell r="G653"/>
        </row>
        <row r="654">
          <cell r="C654"/>
          <cell r="D654"/>
          <cell r="E654"/>
          <cell r="F654"/>
          <cell r="G654"/>
        </row>
        <row r="655">
          <cell r="C655"/>
          <cell r="D655"/>
          <cell r="E655"/>
          <cell r="F655"/>
          <cell r="G655"/>
        </row>
        <row r="656">
          <cell r="C656"/>
          <cell r="D656"/>
          <cell r="E656"/>
          <cell r="F656"/>
          <cell r="G656"/>
        </row>
        <row r="657">
          <cell r="C657"/>
          <cell r="D657"/>
          <cell r="E657"/>
          <cell r="F657"/>
          <cell r="G657"/>
        </row>
        <row r="658">
          <cell r="C658"/>
          <cell r="D658"/>
          <cell r="E658"/>
          <cell r="F658"/>
          <cell r="G658"/>
        </row>
        <row r="659">
          <cell r="C659"/>
          <cell r="D659"/>
          <cell r="E659"/>
          <cell r="F659"/>
          <cell r="G659"/>
        </row>
        <row r="660">
          <cell r="C660"/>
          <cell r="D660"/>
          <cell r="E660"/>
          <cell r="F660"/>
          <cell r="G660"/>
        </row>
        <row r="661">
          <cell r="C661"/>
          <cell r="D661"/>
          <cell r="E661"/>
          <cell r="F661"/>
          <cell r="G661"/>
        </row>
        <row r="662">
          <cell r="C662"/>
          <cell r="D662"/>
          <cell r="E662"/>
          <cell r="F662"/>
          <cell r="G662"/>
        </row>
        <row r="663">
          <cell r="C663"/>
          <cell r="D663"/>
          <cell r="E663"/>
          <cell r="F663"/>
          <cell r="G663"/>
        </row>
        <row r="664">
          <cell r="C664"/>
          <cell r="D664"/>
          <cell r="E664"/>
          <cell r="F664"/>
          <cell r="G664"/>
        </row>
        <row r="665">
          <cell r="C665"/>
          <cell r="D665"/>
          <cell r="E665"/>
          <cell r="F665"/>
          <cell r="G665"/>
        </row>
        <row r="666">
          <cell r="C666"/>
          <cell r="D666"/>
          <cell r="E666"/>
          <cell r="F666"/>
          <cell r="G666"/>
        </row>
        <row r="667">
          <cell r="C667"/>
          <cell r="D667"/>
          <cell r="E667"/>
          <cell r="F667"/>
          <cell r="G667"/>
        </row>
        <row r="668">
          <cell r="C668"/>
          <cell r="D668"/>
          <cell r="E668"/>
          <cell r="F668"/>
          <cell r="G668"/>
        </row>
        <row r="669">
          <cell r="C669"/>
          <cell r="D669"/>
          <cell r="E669"/>
          <cell r="F669"/>
          <cell r="G669"/>
        </row>
        <row r="670">
          <cell r="C670"/>
          <cell r="D670"/>
          <cell r="E670"/>
          <cell r="F670"/>
          <cell r="G670"/>
        </row>
        <row r="671">
          <cell r="C671"/>
          <cell r="D671"/>
          <cell r="E671"/>
          <cell r="F671"/>
          <cell r="G671"/>
        </row>
        <row r="672">
          <cell r="C672"/>
          <cell r="D672"/>
          <cell r="E672"/>
          <cell r="F672"/>
          <cell r="G672"/>
        </row>
        <row r="673">
          <cell r="C673"/>
          <cell r="D673"/>
          <cell r="E673"/>
          <cell r="F673"/>
          <cell r="G673"/>
        </row>
        <row r="674">
          <cell r="C674"/>
          <cell r="D674"/>
          <cell r="E674"/>
          <cell r="F674"/>
          <cell r="G674"/>
        </row>
        <row r="675">
          <cell r="C675"/>
          <cell r="D675"/>
          <cell r="E675"/>
          <cell r="F675"/>
          <cell r="G675"/>
        </row>
        <row r="676">
          <cell r="C676"/>
          <cell r="D676"/>
          <cell r="E676"/>
          <cell r="F676"/>
          <cell r="G676"/>
        </row>
        <row r="677">
          <cell r="C677"/>
          <cell r="D677"/>
          <cell r="E677"/>
          <cell r="F677"/>
          <cell r="G677"/>
        </row>
        <row r="678">
          <cell r="C678"/>
          <cell r="D678"/>
          <cell r="E678"/>
          <cell r="F678"/>
          <cell r="G678"/>
        </row>
        <row r="679">
          <cell r="C679"/>
          <cell r="D679"/>
          <cell r="E679"/>
          <cell r="F679"/>
          <cell r="G679"/>
        </row>
        <row r="680">
          <cell r="C680"/>
          <cell r="D680"/>
          <cell r="E680"/>
          <cell r="F680"/>
          <cell r="G680"/>
        </row>
        <row r="681">
          <cell r="C681"/>
          <cell r="D681"/>
          <cell r="E681"/>
          <cell r="F681"/>
          <cell r="G681"/>
        </row>
        <row r="682">
          <cell r="C682"/>
          <cell r="D682"/>
          <cell r="E682"/>
          <cell r="F682"/>
          <cell r="G682"/>
        </row>
        <row r="683">
          <cell r="C683"/>
          <cell r="D683"/>
          <cell r="E683"/>
          <cell r="F683"/>
          <cell r="G683"/>
        </row>
        <row r="684">
          <cell r="C684"/>
          <cell r="D684"/>
          <cell r="E684"/>
          <cell r="F684"/>
          <cell r="G684"/>
        </row>
        <row r="685">
          <cell r="C685"/>
          <cell r="D685"/>
          <cell r="E685"/>
          <cell r="F685"/>
          <cell r="G685"/>
        </row>
        <row r="686">
          <cell r="C686"/>
          <cell r="D686"/>
          <cell r="E686"/>
          <cell r="F686"/>
          <cell r="G686"/>
        </row>
        <row r="687">
          <cell r="C687"/>
          <cell r="D687"/>
          <cell r="E687"/>
          <cell r="F687"/>
          <cell r="G687"/>
        </row>
        <row r="688">
          <cell r="C688"/>
          <cell r="D688"/>
          <cell r="E688"/>
          <cell r="F688"/>
          <cell r="G688"/>
        </row>
        <row r="689">
          <cell r="C689"/>
          <cell r="D689"/>
          <cell r="E689"/>
          <cell r="F689"/>
          <cell r="G689"/>
        </row>
        <row r="690">
          <cell r="C690"/>
          <cell r="D690"/>
          <cell r="E690"/>
          <cell r="F690"/>
          <cell r="G690"/>
        </row>
        <row r="691">
          <cell r="C691"/>
          <cell r="D691"/>
          <cell r="E691"/>
          <cell r="F691"/>
          <cell r="G691"/>
        </row>
        <row r="692">
          <cell r="C692"/>
          <cell r="D692"/>
          <cell r="E692"/>
          <cell r="F692"/>
          <cell r="G692"/>
        </row>
        <row r="693">
          <cell r="C693"/>
          <cell r="D693"/>
          <cell r="E693"/>
          <cell r="F693"/>
          <cell r="G693"/>
        </row>
        <row r="694">
          <cell r="C694"/>
          <cell r="D694"/>
          <cell r="E694"/>
          <cell r="F694"/>
          <cell r="G694"/>
        </row>
        <row r="695">
          <cell r="C695"/>
          <cell r="D695"/>
          <cell r="E695"/>
          <cell r="F695"/>
          <cell r="G695"/>
        </row>
        <row r="696">
          <cell r="C696"/>
          <cell r="D696"/>
          <cell r="E696"/>
          <cell r="F696"/>
          <cell r="G696"/>
        </row>
        <row r="697">
          <cell r="C697"/>
          <cell r="D697"/>
          <cell r="E697"/>
          <cell r="F697"/>
          <cell r="G697"/>
        </row>
        <row r="698">
          <cell r="C698"/>
          <cell r="D698"/>
          <cell r="E698"/>
          <cell r="F698"/>
          <cell r="G698"/>
        </row>
        <row r="699">
          <cell r="C699"/>
          <cell r="D699"/>
          <cell r="E699"/>
          <cell r="F699"/>
          <cell r="G699"/>
        </row>
        <row r="700">
          <cell r="C700"/>
          <cell r="D700"/>
          <cell r="E700"/>
          <cell r="F700"/>
          <cell r="G700"/>
        </row>
        <row r="701">
          <cell r="C701"/>
          <cell r="D701"/>
          <cell r="E701"/>
          <cell r="F701"/>
          <cell r="G701"/>
        </row>
        <row r="702">
          <cell r="C702"/>
          <cell r="D702"/>
          <cell r="E702"/>
          <cell r="F702"/>
          <cell r="G702"/>
        </row>
        <row r="703">
          <cell r="C703"/>
          <cell r="D703"/>
          <cell r="E703"/>
          <cell r="F703"/>
          <cell r="G703"/>
        </row>
        <row r="704">
          <cell r="C704"/>
          <cell r="D704"/>
          <cell r="E704"/>
          <cell r="F704"/>
          <cell r="G704"/>
        </row>
        <row r="705">
          <cell r="C705"/>
          <cell r="D705"/>
          <cell r="E705"/>
          <cell r="F705"/>
          <cell r="G705"/>
        </row>
        <row r="706">
          <cell r="C706"/>
          <cell r="D706"/>
          <cell r="E706"/>
          <cell r="F706"/>
          <cell r="G706"/>
        </row>
        <row r="707">
          <cell r="C707"/>
          <cell r="D707"/>
          <cell r="E707"/>
          <cell r="F707"/>
          <cell r="G707"/>
        </row>
        <row r="708">
          <cell r="C708"/>
          <cell r="D708"/>
          <cell r="E708"/>
          <cell r="F708"/>
          <cell r="G708"/>
        </row>
        <row r="709">
          <cell r="C709"/>
          <cell r="D709"/>
          <cell r="E709"/>
          <cell r="F709"/>
          <cell r="G709"/>
        </row>
        <row r="710">
          <cell r="C710"/>
          <cell r="D710"/>
          <cell r="E710"/>
          <cell r="F710"/>
          <cell r="G710"/>
        </row>
        <row r="711">
          <cell r="C711"/>
          <cell r="D711"/>
          <cell r="E711"/>
          <cell r="F711"/>
          <cell r="G711"/>
        </row>
        <row r="712">
          <cell r="C712"/>
          <cell r="D712"/>
          <cell r="E712"/>
          <cell r="F712"/>
          <cell r="G712"/>
        </row>
        <row r="713">
          <cell r="C713"/>
          <cell r="D713"/>
          <cell r="E713"/>
          <cell r="F713"/>
          <cell r="G713"/>
        </row>
        <row r="714">
          <cell r="C714"/>
          <cell r="D714"/>
          <cell r="E714"/>
          <cell r="F714"/>
          <cell r="G714"/>
        </row>
        <row r="715">
          <cell r="C715"/>
          <cell r="D715"/>
          <cell r="E715"/>
          <cell r="F715"/>
          <cell r="G715"/>
        </row>
        <row r="716">
          <cell r="C716"/>
          <cell r="D716"/>
          <cell r="E716"/>
          <cell r="F716"/>
          <cell r="G716"/>
        </row>
        <row r="717">
          <cell r="C717"/>
          <cell r="D717"/>
          <cell r="E717"/>
          <cell r="F717"/>
          <cell r="G717"/>
        </row>
        <row r="718">
          <cell r="C718"/>
          <cell r="D718"/>
          <cell r="E718"/>
          <cell r="F718"/>
          <cell r="G718"/>
        </row>
        <row r="719">
          <cell r="C719"/>
          <cell r="D719"/>
          <cell r="E719"/>
          <cell r="F719"/>
          <cell r="G719"/>
        </row>
        <row r="720">
          <cell r="C720"/>
          <cell r="D720"/>
          <cell r="E720"/>
          <cell r="F720"/>
          <cell r="G720"/>
        </row>
        <row r="721">
          <cell r="C721"/>
          <cell r="D721"/>
          <cell r="E721"/>
          <cell r="F721"/>
          <cell r="G721"/>
        </row>
        <row r="722">
          <cell r="C722"/>
          <cell r="D722"/>
          <cell r="E722"/>
          <cell r="F722"/>
          <cell r="G722"/>
        </row>
        <row r="723">
          <cell r="C723"/>
          <cell r="D723"/>
          <cell r="E723"/>
          <cell r="F723"/>
          <cell r="G723"/>
        </row>
        <row r="724">
          <cell r="C724"/>
          <cell r="D724"/>
          <cell r="E724"/>
          <cell r="F724"/>
          <cell r="G724"/>
        </row>
        <row r="725">
          <cell r="C725"/>
          <cell r="D725"/>
          <cell r="E725"/>
          <cell r="F725"/>
          <cell r="G725"/>
        </row>
        <row r="726">
          <cell r="C726"/>
          <cell r="D726"/>
          <cell r="E726"/>
          <cell r="F726"/>
          <cell r="G726"/>
        </row>
        <row r="727">
          <cell r="C727"/>
          <cell r="D727"/>
          <cell r="E727"/>
          <cell r="F727"/>
          <cell r="G727"/>
        </row>
        <row r="728">
          <cell r="C728"/>
          <cell r="D728"/>
          <cell r="E728"/>
          <cell r="F728"/>
          <cell r="G728"/>
        </row>
        <row r="729">
          <cell r="C729"/>
          <cell r="D729"/>
          <cell r="E729"/>
          <cell r="F729"/>
          <cell r="G729"/>
        </row>
        <row r="730">
          <cell r="C730"/>
          <cell r="D730"/>
          <cell r="E730"/>
          <cell r="F730"/>
          <cell r="G730"/>
        </row>
        <row r="731">
          <cell r="C731"/>
          <cell r="D731"/>
          <cell r="E731"/>
          <cell r="F731"/>
          <cell r="G731"/>
        </row>
        <row r="732">
          <cell r="C732"/>
          <cell r="D732"/>
          <cell r="E732"/>
          <cell r="F732"/>
          <cell r="G732"/>
        </row>
        <row r="733">
          <cell r="C733"/>
          <cell r="D733"/>
          <cell r="E733"/>
          <cell r="F733"/>
          <cell r="G733"/>
        </row>
        <row r="734">
          <cell r="C734"/>
          <cell r="D734"/>
          <cell r="E734"/>
          <cell r="F734"/>
          <cell r="G734"/>
        </row>
        <row r="735">
          <cell r="C735"/>
          <cell r="D735"/>
          <cell r="E735"/>
          <cell r="F735"/>
          <cell r="G735"/>
        </row>
        <row r="736">
          <cell r="C736"/>
          <cell r="D736"/>
          <cell r="E736"/>
          <cell r="F736"/>
          <cell r="G736"/>
        </row>
        <row r="737">
          <cell r="C737"/>
          <cell r="D737"/>
          <cell r="E737"/>
          <cell r="F737"/>
          <cell r="G737"/>
        </row>
        <row r="738">
          <cell r="C738"/>
          <cell r="D738"/>
          <cell r="E738"/>
          <cell r="F738"/>
          <cell r="G738"/>
        </row>
        <row r="739">
          <cell r="C739"/>
          <cell r="D739"/>
          <cell r="E739"/>
          <cell r="F739"/>
          <cell r="G739"/>
        </row>
        <row r="740">
          <cell r="C740"/>
          <cell r="D740"/>
          <cell r="E740"/>
          <cell r="F740"/>
          <cell r="G740"/>
        </row>
        <row r="741">
          <cell r="C741"/>
          <cell r="D741"/>
          <cell r="E741"/>
          <cell r="F741"/>
          <cell r="G741"/>
        </row>
        <row r="742">
          <cell r="C742"/>
          <cell r="D742"/>
          <cell r="E742"/>
          <cell r="F742"/>
          <cell r="G742"/>
        </row>
        <row r="743">
          <cell r="C743"/>
          <cell r="D743"/>
          <cell r="E743"/>
          <cell r="F743"/>
          <cell r="G743"/>
        </row>
        <row r="744">
          <cell r="C744"/>
          <cell r="D744"/>
          <cell r="E744"/>
          <cell r="F744"/>
          <cell r="G744"/>
        </row>
        <row r="745">
          <cell r="C745"/>
          <cell r="D745"/>
          <cell r="E745"/>
          <cell r="F745"/>
          <cell r="G745"/>
        </row>
        <row r="746">
          <cell r="C746"/>
          <cell r="D746"/>
          <cell r="E746"/>
          <cell r="F746"/>
          <cell r="G746"/>
        </row>
        <row r="747">
          <cell r="C747"/>
          <cell r="D747"/>
          <cell r="E747"/>
          <cell r="F747"/>
          <cell r="G747"/>
        </row>
        <row r="748">
          <cell r="C748"/>
          <cell r="D748"/>
          <cell r="E748"/>
          <cell r="F748"/>
          <cell r="G748"/>
        </row>
        <row r="749">
          <cell r="C749"/>
          <cell r="D749"/>
          <cell r="E749"/>
          <cell r="F749"/>
          <cell r="G749"/>
        </row>
        <row r="750">
          <cell r="C750"/>
          <cell r="D750"/>
          <cell r="E750"/>
          <cell r="F750"/>
          <cell r="G750"/>
        </row>
        <row r="751">
          <cell r="C751"/>
          <cell r="D751"/>
          <cell r="E751"/>
          <cell r="F751"/>
          <cell r="G751"/>
        </row>
        <row r="752">
          <cell r="C752"/>
          <cell r="D752"/>
          <cell r="E752"/>
          <cell r="F752"/>
          <cell r="G752"/>
        </row>
        <row r="753">
          <cell r="C753"/>
          <cell r="D753"/>
          <cell r="E753"/>
          <cell r="F753"/>
          <cell r="G753"/>
        </row>
        <row r="754">
          <cell r="C754"/>
          <cell r="D754"/>
          <cell r="E754"/>
          <cell r="F754"/>
          <cell r="G754"/>
        </row>
        <row r="755">
          <cell r="C755"/>
          <cell r="D755"/>
          <cell r="E755"/>
          <cell r="F755"/>
          <cell r="G755"/>
        </row>
        <row r="756">
          <cell r="C756"/>
          <cell r="D756"/>
          <cell r="E756"/>
          <cell r="F756"/>
          <cell r="G756"/>
        </row>
        <row r="757">
          <cell r="C757"/>
          <cell r="D757"/>
          <cell r="E757"/>
          <cell r="F757"/>
          <cell r="G757"/>
        </row>
        <row r="758">
          <cell r="C758"/>
          <cell r="D758"/>
          <cell r="E758"/>
          <cell r="F758"/>
          <cell r="G758"/>
        </row>
        <row r="759">
          <cell r="C759"/>
          <cell r="D759"/>
          <cell r="E759"/>
          <cell r="F759"/>
          <cell r="G759"/>
        </row>
        <row r="760">
          <cell r="C760"/>
          <cell r="D760"/>
          <cell r="E760"/>
          <cell r="F760"/>
          <cell r="G760"/>
        </row>
        <row r="761">
          <cell r="C761"/>
          <cell r="D761"/>
          <cell r="E761"/>
          <cell r="F761"/>
          <cell r="G761"/>
        </row>
        <row r="762">
          <cell r="C762"/>
          <cell r="D762"/>
          <cell r="E762"/>
          <cell r="F762"/>
          <cell r="G762"/>
        </row>
        <row r="763">
          <cell r="C763"/>
          <cell r="D763"/>
          <cell r="E763"/>
          <cell r="F763"/>
          <cell r="G763"/>
        </row>
        <row r="764">
          <cell r="C764"/>
          <cell r="D764"/>
          <cell r="E764"/>
          <cell r="F764"/>
          <cell r="G764"/>
        </row>
        <row r="765">
          <cell r="C765"/>
          <cell r="D765"/>
          <cell r="E765"/>
          <cell r="F765"/>
          <cell r="G765"/>
        </row>
        <row r="766">
          <cell r="C766"/>
          <cell r="D766"/>
          <cell r="E766"/>
          <cell r="F766"/>
          <cell r="G766"/>
        </row>
        <row r="767">
          <cell r="C767"/>
          <cell r="D767"/>
          <cell r="E767"/>
          <cell r="F767"/>
          <cell r="G767"/>
        </row>
        <row r="768">
          <cell r="C768"/>
          <cell r="D768"/>
          <cell r="E768"/>
          <cell r="F768"/>
          <cell r="G768"/>
        </row>
        <row r="769">
          <cell r="C769"/>
          <cell r="D769"/>
          <cell r="E769"/>
          <cell r="F769"/>
          <cell r="G769"/>
        </row>
        <row r="770">
          <cell r="C770"/>
          <cell r="D770"/>
          <cell r="E770"/>
          <cell r="F770"/>
          <cell r="G770"/>
        </row>
        <row r="771">
          <cell r="C771"/>
          <cell r="D771"/>
          <cell r="E771"/>
          <cell r="F771"/>
          <cell r="G771"/>
        </row>
        <row r="772">
          <cell r="C772"/>
          <cell r="D772"/>
          <cell r="E772"/>
          <cell r="F772"/>
          <cell r="G772"/>
        </row>
        <row r="773">
          <cell r="C773"/>
          <cell r="D773"/>
          <cell r="E773"/>
          <cell r="F773"/>
          <cell r="G773"/>
        </row>
        <row r="774">
          <cell r="C774"/>
          <cell r="D774"/>
          <cell r="E774"/>
          <cell r="F774"/>
          <cell r="G774"/>
        </row>
        <row r="775">
          <cell r="C775"/>
          <cell r="D775"/>
          <cell r="E775"/>
          <cell r="F775"/>
          <cell r="G775"/>
        </row>
        <row r="776">
          <cell r="C776"/>
          <cell r="D776"/>
          <cell r="E776"/>
          <cell r="F776"/>
          <cell r="G776"/>
        </row>
        <row r="777">
          <cell r="C777"/>
          <cell r="D777"/>
          <cell r="E777"/>
          <cell r="F777"/>
          <cell r="G777"/>
        </row>
        <row r="778">
          <cell r="C778"/>
          <cell r="D778"/>
          <cell r="E778"/>
          <cell r="F778"/>
          <cell r="G778"/>
        </row>
        <row r="779">
          <cell r="C779"/>
          <cell r="D779"/>
          <cell r="E779"/>
          <cell r="F779"/>
          <cell r="G779"/>
        </row>
        <row r="780">
          <cell r="C780"/>
          <cell r="D780"/>
          <cell r="E780"/>
          <cell r="F780"/>
          <cell r="G780"/>
        </row>
        <row r="781">
          <cell r="C781"/>
          <cell r="D781"/>
          <cell r="E781"/>
          <cell r="F781"/>
          <cell r="G781"/>
        </row>
        <row r="782">
          <cell r="C782"/>
          <cell r="D782"/>
          <cell r="E782"/>
          <cell r="F782"/>
          <cell r="G782"/>
        </row>
        <row r="783">
          <cell r="C783"/>
          <cell r="D783"/>
          <cell r="E783"/>
          <cell r="F783"/>
          <cell r="G783"/>
        </row>
        <row r="784">
          <cell r="C784"/>
          <cell r="D784"/>
          <cell r="E784"/>
          <cell r="F784"/>
          <cell r="G784"/>
        </row>
        <row r="785">
          <cell r="C785"/>
          <cell r="D785"/>
          <cell r="E785"/>
          <cell r="F785"/>
          <cell r="G785"/>
        </row>
        <row r="786">
          <cell r="C786"/>
          <cell r="D786"/>
          <cell r="E786"/>
          <cell r="F786"/>
          <cell r="G786"/>
        </row>
        <row r="787">
          <cell r="C787"/>
          <cell r="D787"/>
          <cell r="E787"/>
          <cell r="F787"/>
          <cell r="G787"/>
        </row>
        <row r="788">
          <cell r="C788"/>
          <cell r="D788"/>
          <cell r="E788"/>
          <cell r="F788"/>
          <cell r="G788"/>
        </row>
        <row r="789">
          <cell r="C789"/>
          <cell r="D789"/>
          <cell r="E789"/>
          <cell r="F789"/>
          <cell r="G789"/>
        </row>
        <row r="790">
          <cell r="C790"/>
          <cell r="D790"/>
          <cell r="E790"/>
          <cell r="F790"/>
          <cell r="G790"/>
        </row>
        <row r="791">
          <cell r="C791"/>
          <cell r="D791"/>
          <cell r="E791"/>
          <cell r="F791"/>
          <cell r="G791"/>
        </row>
        <row r="792">
          <cell r="C792"/>
          <cell r="D792"/>
          <cell r="E792"/>
          <cell r="F792"/>
          <cell r="G792"/>
        </row>
        <row r="793">
          <cell r="C793"/>
          <cell r="D793"/>
          <cell r="E793"/>
          <cell r="F793"/>
          <cell r="G793"/>
        </row>
        <row r="794">
          <cell r="C794"/>
          <cell r="D794"/>
          <cell r="E794"/>
          <cell r="F794"/>
          <cell r="G794"/>
        </row>
        <row r="795">
          <cell r="C795"/>
          <cell r="D795"/>
          <cell r="E795"/>
          <cell r="F795"/>
          <cell r="G795"/>
        </row>
        <row r="796">
          <cell r="C796"/>
          <cell r="D796"/>
          <cell r="E796"/>
          <cell r="F796"/>
          <cell r="G796"/>
        </row>
        <row r="797">
          <cell r="C797"/>
          <cell r="D797"/>
          <cell r="E797"/>
          <cell r="F797"/>
          <cell r="G797"/>
        </row>
        <row r="798">
          <cell r="C798"/>
          <cell r="D798"/>
          <cell r="E798"/>
          <cell r="F798"/>
          <cell r="G798"/>
        </row>
        <row r="799">
          <cell r="C799"/>
          <cell r="D799"/>
          <cell r="E799"/>
          <cell r="F799"/>
          <cell r="G799"/>
        </row>
        <row r="800">
          <cell r="C800"/>
          <cell r="D800"/>
          <cell r="E800"/>
          <cell r="F800"/>
          <cell r="G800"/>
        </row>
        <row r="801">
          <cell r="C801"/>
          <cell r="D801"/>
          <cell r="E801"/>
          <cell r="F801"/>
          <cell r="G801"/>
        </row>
        <row r="802">
          <cell r="C802"/>
          <cell r="D802"/>
          <cell r="E802"/>
          <cell r="F802"/>
          <cell r="G802"/>
        </row>
        <row r="803">
          <cell r="C803"/>
          <cell r="D803"/>
          <cell r="E803"/>
          <cell r="F803"/>
          <cell r="G803"/>
        </row>
        <row r="804">
          <cell r="C804"/>
          <cell r="D804"/>
          <cell r="E804"/>
          <cell r="F804"/>
          <cell r="G804"/>
        </row>
        <row r="805">
          <cell r="C805"/>
          <cell r="D805"/>
          <cell r="E805"/>
          <cell r="F805"/>
          <cell r="G805"/>
        </row>
        <row r="806">
          <cell r="C806"/>
          <cell r="D806"/>
          <cell r="E806"/>
          <cell r="F806"/>
          <cell r="G806"/>
        </row>
        <row r="807">
          <cell r="C807"/>
          <cell r="D807"/>
          <cell r="E807"/>
          <cell r="F807"/>
          <cell r="G807"/>
        </row>
        <row r="808">
          <cell r="C808"/>
          <cell r="D808"/>
          <cell r="E808"/>
          <cell r="F808"/>
          <cell r="G808"/>
        </row>
        <row r="809">
          <cell r="C809"/>
          <cell r="D809"/>
          <cell r="E809"/>
          <cell r="F809"/>
          <cell r="G809"/>
        </row>
        <row r="810">
          <cell r="C810"/>
          <cell r="D810"/>
          <cell r="E810"/>
          <cell r="F810"/>
          <cell r="G810"/>
        </row>
        <row r="811">
          <cell r="C811"/>
          <cell r="D811"/>
          <cell r="E811"/>
          <cell r="F811"/>
          <cell r="G811"/>
        </row>
        <row r="812">
          <cell r="C812"/>
          <cell r="D812"/>
          <cell r="E812"/>
          <cell r="F812"/>
          <cell r="G812"/>
        </row>
        <row r="813">
          <cell r="C813"/>
          <cell r="D813"/>
          <cell r="E813"/>
          <cell r="F813"/>
          <cell r="G813"/>
        </row>
        <row r="814">
          <cell r="C814"/>
          <cell r="D814"/>
          <cell r="E814"/>
          <cell r="F814"/>
          <cell r="G814"/>
        </row>
        <row r="815">
          <cell r="C815"/>
          <cell r="D815"/>
          <cell r="E815"/>
          <cell r="F815"/>
          <cell r="G815"/>
        </row>
        <row r="816">
          <cell r="C816"/>
          <cell r="D816"/>
          <cell r="E816"/>
          <cell r="F816"/>
          <cell r="G816"/>
        </row>
        <row r="817">
          <cell r="C817"/>
          <cell r="D817"/>
          <cell r="E817"/>
          <cell r="F817"/>
          <cell r="G817"/>
        </row>
        <row r="818">
          <cell r="C818"/>
          <cell r="D818"/>
          <cell r="E818"/>
          <cell r="F818"/>
          <cell r="G818"/>
        </row>
        <row r="819">
          <cell r="C819"/>
          <cell r="D819"/>
          <cell r="E819"/>
          <cell r="F819"/>
          <cell r="G819"/>
        </row>
        <row r="820">
          <cell r="C820"/>
          <cell r="D820"/>
          <cell r="E820"/>
          <cell r="F820"/>
          <cell r="G820"/>
        </row>
        <row r="821">
          <cell r="C821"/>
          <cell r="D821"/>
          <cell r="E821"/>
          <cell r="F821"/>
          <cell r="G821"/>
        </row>
        <row r="822">
          <cell r="C822"/>
          <cell r="D822"/>
          <cell r="E822"/>
          <cell r="F822"/>
          <cell r="G822"/>
        </row>
        <row r="823">
          <cell r="C823"/>
          <cell r="D823"/>
          <cell r="E823"/>
          <cell r="F823"/>
          <cell r="G823"/>
        </row>
        <row r="824">
          <cell r="C824"/>
          <cell r="D824"/>
          <cell r="E824"/>
          <cell r="F824"/>
          <cell r="G824"/>
        </row>
        <row r="825">
          <cell r="C825"/>
          <cell r="D825"/>
          <cell r="E825"/>
          <cell r="F825"/>
          <cell r="G825"/>
        </row>
        <row r="826">
          <cell r="C826"/>
          <cell r="D826"/>
          <cell r="E826"/>
          <cell r="F826"/>
          <cell r="G826"/>
        </row>
        <row r="827">
          <cell r="C827"/>
          <cell r="D827"/>
          <cell r="E827"/>
          <cell r="F827"/>
          <cell r="G827"/>
        </row>
        <row r="828">
          <cell r="C828"/>
          <cell r="D828"/>
          <cell r="E828"/>
          <cell r="F828"/>
          <cell r="G828"/>
        </row>
        <row r="829">
          <cell r="C829"/>
          <cell r="D829"/>
          <cell r="E829"/>
          <cell r="F829"/>
          <cell r="G829"/>
        </row>
        <row r="830">
          <cell r="C830"/>
          <cell r="D830"/>
          <cell r="E830"/>
          <cell r="F830"/>
          <cell r="G830"/>
        </row>
        <row r="831">
          <cell r="C831"/>
          <cell r="D831"/>
          <cell r="E831"/>
          <cell r="F831"/>
          <cell r="G831"/>
        </row>
        <row r="832">
          <cell r="C832"/>
          <cell r="D832"/>
          <cell r="E832"/>
          <cell r="F832"/>
          <cell r="G832"/>
        </row>
        <row r="833">
          <cell r="C833"/>
          <cell r="D833"/>
          <cell r="E833"/>
          <cell r="F833"/>
          <cell r="G833"/>
        </row>
        <row r="834">
          <cell r="C834"/>
          <cell r="D834"/>
          <cell r="E834"/>
          <cell r="F834"/>
          <cell r="G834"/>
        </row>
        <row r="835">
          <cell r="C835"/>
          <cell r="D835"/>
          <cell r="E835"/>
          <cell r="F835"/>
          <cell r="G835"/>
        </row>
        <row r="836">
          <cell r="C836"/>
          <cell r="D836"/>
          <cell r="E836"/>
          <cell r="F836"/>
          <cell r="G836"/>
        </row>
        <row r="837">
          <cell r="C837"/>
          <cell r="D837"/>
          <cell r="E837"/>
          <cell r="F837"/>
          <cell r="G837"/>
        </row>
        <row r="838">
          <cell r="C838"/>
          <cell r="D838"/>
          <cell r="E838"/>
          <cell r="F838"/>
          <cell r="G838"/>
        </row>
        <row r="839">
          <cell r="C839"/>
          <cell r="D839"/>
          <cell r="E839"/>
          <cell r="F839"/>
          <cell r="G839"/>
        </row>
        <row r="840">
          <cell r="C840"/>
          <cell r="D840"/>
          <cell r="E840"/>
          <cell r="F840"/>
          <cell r="G840"/>
        </row>
        <row r="841">
          <cell r="C841"/>
          <cell r="D841"/>
          <cell r="E841"/>
          <cell r="F841"/>
          <cell r="G841"/>
        </row>
        <row r="842">
          <cell r="C842"/>
          <cell r="D842"/>
          <cell r="E842"/>
          <cell r="F842"/>
          <cell r="G842"/>
        </row>
        <row r="843">
          <cell r="C843"/>
          <cell r="D843"/>
          <cell r="E843"/>
          <cell r="F843"/>
          <cell r="G843"/>
        </row>
        <row r="844">
          <cell r="C844"/>
          <cell r="D844"/>
          <cell r="E844"/>
          <cell r="F844"/>
          <cell r="G844"/>
        </row>
        <row r="845">
          <cell r="C845"/>
          <cell r="D845"/>
          <cell r="E845"/>
          <cell r="F845"/>
          <cell r="G845"/>
        </row>
        <row r="846">
          <cell r="C846"/>
          <cell r="D846"/>
          <cell r="E846"/>
          <cell r="F846"/>
          <cell r="G846"/>
        </row>
        <row r="847">
          <cell r="C847"/>
          <cell r="D847"/>
          <cell r="E847"/>
          <cell r="F847"/>
          <cell r="G847"/>
        </row>
        <row r="848">
          <cell r="C848"/>
          <cell r="D848"/>
          <cell r="E848"/>
          <cell r="F848"/>
          <cell r="G848"/>
        </row>
        <row r="849">
          <cell r="C849"/>
          <cell r="D849"/>
          <cell r="E849"/>
          <cell r="F849"/>
          <cell r="G849"/>
        </row>
        <row r="850">
          <cell r="C850"/>
          <cell r="D850"/>
          <cell r="E850"/>
          <cell r="F850"/>
          <cell r="G850"/>
        </row>
        <row r="851">
          <cell r="C851"/>
          <cell r="D851"/>
          <cell r="E851"/>
          <cell r="F851"/>
          <cell r="G851"/>
        </row>
        <row r="852">
          <cell r="C852"/>
          <cell r="D852"/>
          <cell r="E852"/>
          <cell r="F852"/>
          <cell r="G852"/>
        </row>
        <row r="853">
          <cell r="C853"/>
          <cell r="D853"/>
          <cell r="E853"/>
          <cell r="F853"/>
          <cell r="G853"/>
        </row>
        <row r="854">
          <cell r="C854"/>
          <cell r="D854"/>
          <cell r="E854"/>
          <cell r="F854"/>
          <cell r="G854"/>
        </row>
        <row r="855">
          <cell r="C855"/>
          <cell r="D855"/>
          <cell r="E855"/>
          <cell r="F855"/>
          <cell r="G855"/>
        </row>
        <row r="856">
          <cell r="C856"/>
          <cell r="D856"/>
          <cell r="E856"/>
          <cell r="F856"/>
          <cell r="G856"/>
        </row>
        <row r="857">
          <cell r="C857"/>
          <cell r="D857"/>
          <cell r="E857"/>
          <cell r="F857"/>
          <cell r="G857"/>
        </row>
        <row r="858">
          <cell r="C858"/>
          <cell r="D858"/>
          <cell r="E858"/>
          <cell r="F858"/>
          <cell r="G858"/>
        </row>
        <row r="859">
          <cell r="C859"/>
          <cell r="D859"/>
          <cell r="E859"/>
          <cell r="F859"/>
          <cell r="G859"/>
        </row>
        <row r="860">
          <cell r="C860"/>
          <cell r="D860"/>
          <cell r="E860"/>
          <cell r="F860"/>
          <cell r="G860"/>
        </row>
        <row r="861">
          <cell r="C861"/>
          <cell r="D861"/>
          <cell r="E861"/>
          <cell r="F861"/>
          <cell r="G861"/>
        </row>
        <row r="862">
          <cell r="C862"/>
          <cell r="D862"/>
          <cell r="E862"/>
          <cell r="F862"/>
          <cell r="G862"/>
        </row>
        <row r="863">
          <cell r="C863"/>
          <cell r="D863"/>
          <cell r="E863"/>
          <cell r="F863"/>
          <cell r="G863"/>
        </row>
        <row r="864">
          <cell r="C864"/>
          <cell r="D864"/>
          <cell r="E864"/>
          <cell r="F864"/>
          <cell r="G864"/>
        </row>
        <row r="865">
          <cell r="C865"/>
          <cell r="D865"/>
          <cell r="E865"/>
          <cell r="F865"/>
          <cell r="G865"/>
        </row>
        <row r="866">
          <cell r="C866"/>
          <cell r="D866"/>
          <cell r="E866"/>
          <cell r="F866"/>
          <cell r="G866"/>
        </row>
        <row r="867">
          <cell r="C867"/>
          <cell r="D867"/>
          <cell r="E867"/>
          <cell r="F867"/>
          <cell r="G867"/>
        </row>
        <row r="868">
          <cell r="C868"/>
          <cell r="D868"/>
          <cell r="E868"/>
          <cell r="F868"/>
          <cell r="G868"/>
        </row>
        <row r="869">
          <cell r="C869"/>
          <cell r="D869"/>
          <cell r="E869"/>
          <cell r="F869"/>
          <cell r="G869"/>
        </row>
        <row r="870">
          <cell r="C870"/>
          <cell r="D870"/>
          <cell r="E870"/>
          <cell r="F870"/>
          <cell r="G870"/>
        </row>
        <row r="871">
          <cell r="C871"/>
          <cell r="D871"/>
          <cell r="E871"/>
          <cell r="F871"/>
          <cell r="G871"/>
        </row>
        <row r="872">
          <cell r="C872"/>
          <cell r="D872"/>
          <cell r="E872"/>
          <cell r="F872"/>
          <cell r="G872"/>
        </row>
        <row r="873">
          <cell r="C873"/>
          <cell r="D873"/>
          <cell r="E873"/>
          <cell r="F873"/>
          <cell r="G873"/>
        </row>
        <row r="874">
          <cell r="C874"/>
          <cell r="D874"/>
          <cell r="E874"/>
          <cell r="F874"/>
          <cell r="G874"/>
        </row>
        <row r="875">
          <cell r="C875"/>
          <cell r="D875"/>
          <cell r="E875"/>
          <cell r="F875"/>
          <cell r="G875"/>
        </row>
        <row r="876">
          <cell r="C876"/>
          <cell r="D876"/>
          <cell r="E876"/>
          <cell r="F876"/>
          <cell r="G876"/>
        </row>
        <row r="877">
          <cell r="C877"/>
          <cell r="D877"/>
          <cell r="E877"/>
          <cell r="F877"/>
          <cell r="G877"/>
        </row>
        <row r="878">
          <cell r="C878"/>
          <cell r="D878"/>
          <cell r="E878"/>
          <cell r="F878"/>
          <cell r="G878"/>
        </row>
        <row r="879">
          <cell r="C879"/>
          <cell r="D879"/>
          <cell r="E879"/>
          <cell r="F879"/>
          <cell r="G879"/>
        </row>
        <row r="880">
          <cell r="C880"/>
          <cell r="D880"/>
          <cell r="E880"/>
          <cell r="F880"/>
          <cell r="G880"/>
        </row>
        <row r="881">
          <cell r="C881"/>
          <cell r="D881"/>
          <cell r="E881"/>
          <cell r="F881"/>
          <cell r="G881"/>
        </row>
        <row r="882">
          <cell r="C882"/>
          <cell r="D882"/>
          <cell r="E882"/>
          <cell r="F882"/>
          <cell r="G882"/>
        </row>
        <row r="883">
          <cell r="C883"/>
          <cell r="D883"/>
          <cell r="E883"/>
          <cell r="F883"/>
          <cell r="G883"/>
        </row>
        <row r="884">
          <cell r="C884"/>
          <cell r="D884"/>
          <cell r="E884"/>
          <cell r="F884"/>
          <cell r="G884"/>
        </row>
        <row r="885">
          <cell r="C885"/>
          <cell r="D885"/>
          <cell r="E885"/>
          <cell r="F885"/>
          <cell r="G885"/>
        </row>
        <row r="886">
          <cell r="C886"/>
          <cell r="D886"/>
          <cell r="E886"/>
          <cell r="F886"/>
          <cell r="G886"/>
        </row>
        <row r="887">
          <cell r="C887"/>
          <cell r="D887"/>
          <cell r="E887"/>
          <cell r="F887"/>
          <cell r="G887"/>
        </row>
        <row r="888">
          <cell r="C888"/>
          <cell r="D888"/>
          <cell r="E888"/>
          <cell r="F888"/>
          <cell r="G888"/>
        </row>
        <row r="889">
          <cell r="C889"/>
          <cell r="D889"/>
          <cell r="E889"/>
          <cell r="F889"/>
          <cell r="G889"/>
        </row>
        <row r="890">
          <cell r="C890"/>
          <cell r="D890"/>
          <cell r="E890"/>
          <cell r="F890"/>
          <cell r="G890"/>
        </row>
        <row r="891">
          <cell r="C891"/>
          <cell r="D891"/>
          <cell r="E891"/>
          <cell r="F891"/>
          <cell r="G891"/>
        </row>
        <row r="892">
          <cell r="C892"/>
          <cell r="D892"/>
          <cell r="E892"/>
          <cell r="F892"/>
          <cell r="G892"/>
        </row>
        <row r="893">
          <cell r="C893"/>
          <cell r="D893"/>
          <cell r="E893"/>
          <cell r="F893"/>
          <cell r="G893"/>
        </row>
        <row r="894">
          <cell r="C894"/>
          <cell r="D894"/>
          <cell r="E894"/>
          <cell r="F894"/>
          <cell r="G894"/>
        </row>
        <row r="895">
          <cell r="C895"/>
          <cell r="D895"/>
          <cell r="E895"/>
          <cell r="F895"/>
          <cell r="G895"/>
        </row>
        <row r="896">
          <cell r="C896"/>
          <cell r="D896"/>
          <cell r="E896"/>
          <cell r="F896"/>
          <cell r="G896"/>
        </row>
        <row r="897">
          <cell r="C897"/>
          <cell r="D897"/>
          <cell r="E897"/>
          <cell r="F897"/>
          <cell r="G897"/>
        </row>
        <row r="898">
          <cell r="C898"/>
          <cell r="D898"/>
          <cell r="E898"/>
          <cell r="F898"/>
          <cell r="G898"/>
        </row>
        <row r="899">
          <cell r="C899"/>
          <cell r="D899"/>
          <cell r="E899"/>
          <cell r="F899"/>
          <cell r="G899"/>
        </row>
        <row r="900">
          <cell r="C900"/>
          <cell r="D900"/>
          <cell r="E900"/>
          <cell r="F900"/>
          <cell r="G900"/>
        </row>
        <row r="901">
          <cell r="C901"/>
          <cell r="D901"/>
          <cell r="E901"/>
          <cell r="F901"/>
          <cell r="G901"/>
        </row>
        <row r="902">
          <cell r="C902"/>
          <cell r="D902"/>
          <cell r="E902"/>
          <cell r="F902"/>
          <cell r="G902"/>
        </row>
        <row r="903">
          <cell r="C903"/>
          <cell r="D903"/>
          <cell r="E903"/>
          <cell r="F903"/>
          <cell r="G903"/>
        </row>
        <row r="904">
          <cell r="C904"/>
          <cell r="D904"/>
          <cell r="E904"/>
          <cell r="F904"/>
          <cell r="G904"/>
        </row>
        <row r="905">
          <cell r="C905"/>
          <cell r="D905"/>
          <cell r="E905"/>
          <cell r="F905"/>
          <cell r="G905"/>
        </row>
        <row r="906">
          <cell r="C906"/>
          <cell r="D906"/>
          <cell r="E906"/>
          <cell r="F906"/>
          <cell r="G906"/>
        </row>
        <row r="907">
          <cell r="C907"/>
          <cell r="D907"/>
          <cell r="E907"/>
          <cell r="F907"/>
          <cell r="G907"/>
        </row>
        <row r="908">
          <cell r="C908"/>
          <cell r="D908"/>
          <cell r="E908"/>
          <cell r="F908"/>
          <cell r="G908"/>
        </row>
        <row r="909">
          <cell r="C909"/>
          <cell r="D909"/>
          <cell r="E909"/>
          <cell r="F909"/>
          <cell r="G909"/>
        </row>
        <row r="910">
          <cell r="C910"/>
          <cell r="D910"/>
          <cell r="E910"/>
          <cell r="F910"/>
          <cell r="G910"/>
        </row>
        <row r="911">
          <cell r="C911"/>
          <cell r="D911"/>
          <cell r="E911"/>
          <cell r="F911"/>
          <cell r="G911"/>
        </row>
        <row r="912">
          <cell r="C912"/>
          <cell r="D912"/>
          <cell r="E912"/>
          <cell r="F912"/>
          <cell r="G912"/>
        </row>
        <row r="913">
          <cell r="C913"/>
          <cell r="D913"/>
          <cell r="E913"/>
          <cell r="F913"/>
          <cell r="G913"/>
        </row>
        <row r="914">
          <cell r="C914"/>
          <cell r="D914"/>
          <cell r="E914"/>
          <cell r="F914"/>
          <cell r="G914"/>
        </row>
        <row r="915">
          <cell r="C915"/>
          <cell r="D915"/>
          <cell r="E915"/>
          <cell r="F915"/>
          <cell r="G915"/>
        </row>
        <row r="916">
          <cell r="C916"/>
          <cell r="D916"/>
          <cell r="E916"/>
          <cell r="F916"/>
          <cell r="G916"/>
        </row>
        <row r="917">
          <cell r="C917"/>
          <cell r="D917"/>
          <cell r="E917"/>
          <cell r="F917"/>
          <cell r="G917"/>
        </row>
        <row r="918">
          <cell r="C918"/>
          <cell r="D918"/>
          <cell r="E918"/>
          <cell r="F918"/>
          <cell r="G918"/>
        </row>
        <row r="919">
          <cell r="C919"/>
          <cell r="D919"/>
          <cell r="E919"/>
          <cell r="F919"/>
          <cell r="G919"/>
        </row>
        <row r="920">
          <cell r="C920"/>
          <cell r="D920"/>
          <cell r="E920"/>
          <cell r="F920"/>
          <cell r="G920"/>
        </row>
        <row r="921">
          <cell r="C921"/>
          <cell r="D921"/>
          <cell r="E921"/>
          <cell r="F921"/>
          <cell r="G921"/>
        </row>
        <row r="922">
          <cell r="C922"/>
          <cell r="D922"/>
          <cell r="E922"/>
          <cell r="F922"/>
          <cell r="G922"/>
        </row>
        <row r="923">
          <cell r="C923"/>
          <cell r="D923"/>
          <cell r="E923"/>
          <cell r="F923"/>
          <cell r="G923"/>
        </row>
        <row r="924">
          <cell r="C924"/>
          <cell r="D924"/>
          <cell r="E924"/>
          <cell r="F924"/>
          <cell r="G924"/>
        </row>
        <row r="925">
          <cell r="C925"/>
          <cell r="D925"/>
          <cell r="E925"/>
          <cell r="F925"/>
          <cell r="G925"/>
        </row>
        <row r="926">
          <cell r="C926"/>
          <cell r="D926"/>
          <cell r="E926"/>
          <cell r="F926"/>
          <cell r="G926"/>
        </row>
        <row r="927">
          <cell r="C927"/>
          <cell r="D927"/>
          <cell r="E927"/>
          <cell r="F927"/>
          <cell r="G927"/>
        </row>
        <row r="928">
          <cell r="C928"/>
          <cell r="D928"/>
          <cell r="E928"/>
          <cell r="F928"/>
          <cell r="G928"/>
        </row>
        <row r="929">
          <cell r="C929"/>
          <cell r="D929"/>
          <cell r="E929"/>
          <cell r="F929"/>
          <cell r="G929"/>
        </row>
        <row r="930">
          <cell r="C930"/>
          <cell r="D930"/>
          <cell r="E930"/>
          <cell r="F930"/>
          <cell r="G930"/>
        </row>
        <row r="931">
          <cell r="C931"/>
          <cell r="D931"/>
          <cell r="E931"/>
          <cell r="F931"/>
          <cell r="G931"/>
        </row>
        <row r="932">
          <cell r="C932"/>
          <cell r="D932"/>
          <cell r="E932"/>
          <cell r="F932"/>
          <cell r="G932"/>
        </row>
        <row r="933">
          <cell r="C933"/>
          <cell r="D933"/>
          <cell r="E933"/>
          <cell r="F933"/>
          <cell r="G933"/>
        </row>
        <row r="934">
          <cell r="C934"/>
          <cell r="D934"/>
          <cell r="E934"/>
          <cell r="F934"/>
          <cell r="G934"/>
        </row>
        <row r="935">
          <cell r="C935"/>
          <cell r="D935"/>
          <cell r="E935"/>
          <cell r="F935"/>
          <cell r="G935"/>
        </row>
        <row r="936">
          <cell r="C936"/>
          <cell r="D936"/>
          <cell r="E936"/>
          <cell r="F936"/>
          <cell r="G936"/>
        </row>
        <row r="937">
          <cell r="C937"/>
          <cell r="D937"/>
          <cell r="E937"/>
          <cell r="F937"/>
          <cell r="G937"/>
        </row>
        <row r="938">
          <cell r="C938"/>
          <cell r="D938"/>
          <cell r="E938"/>
          <cell r="F938"/>
          <cell r="G938"/>
        </row>
        <row r="939">
          <cell r="C939"/>
          <cell r="D939"/>
          <cell r="E939"/>
          <cell r="F939"/>
          <cell r="G939"/>
        </row>
        <row r="940">
          <cell r="C940"/>
          <cell r="D940"/>
          <cell r="E940"/>
          <cell r="F940"/>
          <cell r="G940"/>
        </row>
        <row r="941">
          <cell r="C941"/>
          <cell r="D941"/>
          <cell r="E941"/>
          <cell r="F941"/>
          <cell r="G941"/>
        </row>
        <row r="942">
          <cell r="C942"/>
          <cell r="D942"/>
          <cell r="E942"/>
          <cell r="F942"/>
          <cell r="G942"/>
        </row>
        <row r="943">
          <cell r="C943"/>
          <cell r="D943"/>
          <cell r="E943"/>
          <cell r="F943"/>
          <cell r="G943"/>
        </row>
        <row r="944">
          <cell r="C944"/>
          <cell r="D944"/>
          <cell r="E944"/>
          <cell r="F944"/>
          <cell r="G944"/>
        </row>
        <row r="945">
          <cell r="C945"/>
          <cell r="D945"/>
          <cell r="E945"/>
          <cell r="F945"/>
          <cell r="G945"/>
        </row>
        <row r="946">
          <cell r="C946"/>
          <cell r="D946"/>
          <cell r="E946"/>
          <cell r="F946"/>
          <cell r="G946"/>
        </row>
        <row r="947">
          <cell r="C947"/>
          <cell r="D947"/>
          <cell r="E947"/>
          <cell r="F947"/>
          <cell r="G947"/>
        </row>
        <row r="948">
          <cell r="C948"/>
          <cell r="D948"/>
          <cell r="E948"/>
          <cell r="F948"/>
          <cell r="G948"/>
        </row>
        <row r="949">
          <cell r="C949"/>
          <cell r="D949"/>
          <cell r="E949"/>
          <cell r="F949"/>
          <cell r="G949"/>
        </row>
        <row r="950">
          <cell r="C950"/>
          <cell r="D950"/>
          <cell r="E950"/>
          <cell r="F950"/>
          <cell r="G950"/>
        </row>
        <row r="951">
          <cell r="C951"/>
          <cell r="D951"/>
          <cell r="E951"/>
          <cell r="F951"/>
          <cell r="G951"/>
        </row>
        <row r="952">
          <cell r="C952"/>
          <cell r="D952"/>
          <cell r="E952"/>
          <cell r="F952"/>
          <cell r="G952"/>
        </row>
        <row r="953">
          <cell r="C953"/>
          <cell r="D953"/>
          <cell r="E953"/>
          <cell r="F953"/>
          <cell r="G953"/>
        </row>
        <row r="954">
          <cell r="C954"/>
          <cell r="D954"/>
          <cell r="E954"/>
          <cell r="F954"/>
          <cell r="G954"/>
        </row>
        <row r="955">
          <cell r="C955"/>
          <cell r="D955"/>
          <cell r="E955"/>
          <cell r="F955"/>
          <cell r="G955"/>
        </row>
        <row r="956">
          <cell r="C956"/>
          <cell r="D956"/>
          <cell r="E956"/>
          <cell r="F956"/>
          <cell r="G956"/>
        </row>
        <row r="957">
          <cell r="C957"/>
          <cell r="D957"/>
          <cell r="E957"/>
          <cell r="F957"/>
          <cell r="G957"/>
        </row>
        <row r="958">
          <cell r="C958"/>
          <cell r="D958"/>
          <cell r="E958"/>
          <cell r="F958"/>
          <cell r="G958"/>
        </row>
        <row r="959">
          <cell r="C959"/>
          <cell r="D959"/>
          <cell r="E959"/>
          <cell r="F959"/>
          <cell r="G959"/>
        </row>
        <row r="960">
          <cell r="C960"/>
          <cell r="D960"/>
          <cell r="E960"/>
          <cell r="F960"/>
          <cell r="G960"/>
        </row>
        <row r="961">
          <cell r="C961"/>
          <cell r="D961"/>
          <cell r="E961"/>
          <cell r="F961"/>
          <cell r="G961"/>
        </row>
        <row r="962">
          <cell r="C962"/>
          <cell r="D962"/>
          <cell r="E962"/>
          <cell r="F962"/>
          <cell r="G962"/>
        </row>
        <row r="963">
          <cell r="C963"/>
          <cell r="D963"/>
          <cell r="E963"/>
          <cell r="F963"/>
          <cell r="G963"/>
        </row>
        <row r="964">
          <cell r="C964"/>
          <cell r="D964"/>
          <cell r="E964"/>
          <cell r="F964"/>
          <cell r="G964"/>
        </row>
        <row r="965">
          <cell r="C965"/>
          <cell r="D965"/>
          <cell r="E965"/>
          <cell r="F965"/>
          <cell r="G965"/>
        </row>
        <row r="966">
          <cell r="C966"/>
          <cell r="D966"/>
          <cell r="E966"/>
          <cell r="F966"/>
          <cell r="G966"/>
        </row>
        <row r="967">
          <cell r="C967"/>
          <cell r="D967"/>
          <cell r="E967"/>
          <cell r="F967"/>
          <cell r="G967"/>
        </row>
        <row r="968">
          <cell r="C968"/>
          <cell r="D968"/>
          <cell r="E968"/>
          <cell r="F968"/>
          <cell r="G968"/>
        </row>
        <row r="969">
          <cell r="C969"/>
          <cell r="D969"/>
          <cell r="E969"/>
          <cell r="F969"/>
          <cell r="G969"/>
        </row>
        <row r="970">
          <cell r="C970"/>
          <cell r="D970"/>
          <cell r="E970"/>
          <cell r="F970"/>
          <cell r="G970"/>
        </row>
        <row r="971">
          <cell r="C971"/>
          <cell r="D971"/>
          <cell r="E971"/>
          <cell r="F971"/>
          <cell r="G971"/>
        </row>
        <row r="972">
          <cell r="C972"/>
          <cell r="D972"/>
          <cell r="E972"/>
          <cell r="F972"/>
          <cell r="G972"/>
        </row>
        <row r="973">
          <cell r="C973"/>
          <cell r="D973"/>
          <cell r="E973"/>
          <cell r="F973"/>
          <cell r="G973"/>
        </row>
        <row r="974">
          <cell r="C974"/>
          <cell r="D974"/>
          <cell r="E974"/>
          <cell r="F974"/>
          <cell r="G974"/>
        </row>
        <row r="975">
          <cell r="C975"/>
          <cell r="D975"/>
          <cell r="E975"/>
          <cell r="F975"/>
          <cell r="G975"/>
        </row>
        <row r="976">
          <cell r="C976"/>
          <cell r="D976"/>
          <cell r="E976"/>
          <cell r="F976"/>
          <cell r="G976"/>
        </row>
        <row r="977">
          <cell r="C977"/>
          <cell r="D977"/>
          <cell r="E977"/>
          <cell r="F977"/>
          <cell r="G977"/>
        </row>
        <row r="978">
          <cell r="C978"/>
          <cell r="D978"/>
          <cell r="E978"/>
          <cell r="F978"/>
          <cell r="G978"/>
        </row>
        <row r="979">
          <cell r="C979"/>
          <cell r="D979"/>
          <cell r="E979"/>
          <cell r="F979"/>
          <cell r="G979"/>
        </row>
        <row r="980">
          <cell r="C980"/>
          <cell r="D980"/>
          <cell r="E980"/>
          <cell r="F980"/>
          <cell r="G980"/>
        </row>
        <row r="981">
          <cell r="C981"/>
          <cell r="D981"/>
          <cell r="E981"/>
          <cell r="F981"/>
          <cell r="G981"/>
        </row>
        <row r="982">
          <cell r="C982"/>
          <cell r="D982"/>
          <cell r="E982"/>
          <cell r="F982"/>
          <cell r="G982"/>
        </row>
        <row r="983">
          <cell r="C983"/>
          <cell r="D983"/>
          <cell r="E983"/>
          <cell r="F983"/>
          <cell r="G983"/>
        </row>
        <row r="984">
          <cell r="C984"/>
          <cell r="D984"/>
          <cell r="E984"/>
          <cell r="F984"/>
          <cell r="G984"/>
        </row>
        <row r="985">
          <cell r="C985"/>
          <cell r="D985"/>
          <cell r="E985"/>
          <cell r="F985"/>
          <cell r="G985"/>
        </row>
        <row r="986">
          <cell r="C986"/>
          <cell r="D986"/>
          <cell r="E986"/>
          <cell r="F986"/>
          <cell r="G986"/>
        </row>
        <row r="987">
          <cell r="C987"/>
          <cell r="D987"/>
          <cell r="E987"/>
          <cell r="F987"/>
          <cell r="G987"/>
        </row>
        <row r="988">
          <cell r="C988"/>
          <cell r="D988"/>
          <cell r="E988"/>
          <cell r="F988"/>
          <cell r="G988"/>
        </row>
        <row r="989">
          <cell r="C989"/>
          <cell r="D989"/>
          <cell r="E989"/>
          <cell r="F989"/>
          <cell r="G989"/>
        </row>
        <row r="990">
          <cell r="C990"/>
          <cell r="D990"/>
          <cell r="E990"/>
          <cell r="F990"/>
          <cell r="G990"/>
        </row>
        <row r="991">
          <cell r="C991"/>
          <cell r="D991"/>
          <cell r="E991"/>
          <cell r="F991"/>
          <cell r="G991"/>
        </row>
        <row r="992">
          <cell r="C992"/>
          <cell r="D992"/>
          <cell r="E992"/>
          <cell r="F992"/>
          <cell r="G992"/>
        </row>
        <row r="993">
          <cell r="C993"/>
          <cell r="D993"/>
          <cell r="E993"/>
          <cell r="F993"/>
          <cell r="G993"/>
        </row>
        <row r="994">
          <cell r="C994"/>
          <cell r="D994"/>
          <cell r="E994"/>
          <cell r="F994"/>
          <cell r="G994"/>
        </row>
        <row r="995">
          <cell r="C995"/>
          <cell r="D995"/>
          <cell r="E995"/>
          <cell r="F995"/>
          <cell r="G995"/>
        </row>
        <row r="996">
          <cell r="C996"/>
          <cell r="D996"/>
          <cell r="E996"/>
          <cell r="F996"/>
          <cell r="G996"/>
        </row>
        <row r="997">
          <cell r="C997"/>
          <cell r="D997"/>
          <cell r="E997"/>
          <cell r="F997"/>
          <cell r="G997"/>
        </row>
        <row r="998">
          <cell r="C998"/>
          <cell r="D998"/>
          <cell r="E998"/>
          <cell r="F998"/>
          <cell r="G998"/>
        </row>
        <row r="999">
          <cell r="C999"/>
          <cell r="D999"/>
          <cell r="E999"/>
          <cell r="F999"/>
          <cell r="G999"/>
        </row>
        <row r="1000">
          <cell r="C1000"/>
          <cell r="D1000"/>
          <cell r="E1000"/>
          <cell r="F1000"/>
          <cell r="G1000"/>
        </row>
        <row r="1001">
          <cell r="C1001"/>
          <cell r="D1001"/>
          <cell r="E1001"/>
          <cell r="F1001"/>
          <cell r="G1001"/>
        </row>
        <row r="1002">
          <cell r="C1002"/>
          <cell r="D1002"/>
          <cell r="E1002"/>
          <cell r="F1002"/>
          <cell r="G1002"/>
        </row>
        <row r="1003">
          <cell r="C1003"/>
          <cell r="D1003"/>
          <cell r="E1003"/>
          <cell r="F1003"/>
          <cell r="G1003"/>
        </row>
        <row r="1004">
          <cell r="C1004"/>
          <cell r="D1004"/>
          <cell r="E1004"/>
          <cell r="F1004"/>
          <cell r="G1004"/>
        </row>
        <row r="1005">
          <cell r="C1005"/>
          <cell r="D1005"/>
          <cell r="E1005"/>
          <cell r="F1005"/>
          <cell r="G1005"/>
        </row>
        <row r="1006">
          <cell r="C1006"/>
          <cell r="D1006"/>
          <cell r="E1006"/>
          <cell r="F1006"/>
          <cell r="G1006"/>
        </row>
        <row r="1007">
          <cell r="C1007"/>
          <cell r="D1007"/>
          <cell r="E1007"/>
          <cell r="F1007"/>
          <cell r="G1007"/>
        </row>
        <row r="1008">
          <cell r="C1008"/>
          <cell r="D1008"/>
          <cell r="E1008"/>
          <cell r="F1008"/>
          <cell r="G1008"/>
        </row>
        <row r="1009">
          <cell r="C1009"/>
          <cell r="D1009"/>
          <cell r="E1009"/>
          <cell r="F1009"/>
          <cell r="G1009"/>
        </row>
        <row r="1010">
          <cell r="C1010"/>
          <cell r="D1010"/>
          <cell r="E1010"/>
          <cell r="F1010"/>
          <cell r="G1010"/>
        </row>
        <row r="1011">
          <cell r="C1011"/>
          <cell r="D1011"/>
          <cell r="E1011"/>
          <cell r="F1011"/>
          <cell r="G1011"/>
        </row>
        <row r="1012">
          <cell r="C1012"/>
          <cell r="D1012"/>
          <cell r="E1012"/>
          <cell r="F1012"/>
          <cell r="G1012"/>
        </row>
        <row r="1013">
          <cell r="C1013"/>
          <cell r="D1013"/>
          <cell r="E1013"/>
          <cell r="F1013"/>
          <cell r="G1013"/>
        </row>
        <row r="1014">
          <cell r="C1014"/>
          <cell r="D1014"/>
          <cell r="E1014"/>
          <cell r="F1014"/>
          <cell r="G1014"/>
        </row>
        <row r="1015">
          <cell r="C1015"/>
          <cell r="D1015"/>
          <cell r="E1015"/>
          <cell r="F1015"/>
          <cell r="G1015"/>
        </row>
        <row r="1016">
          <cell r="C1016"/>
          <cell r="D1016"/>
          <cell r="E1016"/>
          <cell r="F1016"/>
          <cell r="G1016"/>
        </row>
        <row r="1017">
          <cell r="C1017"/>
          <cell r="D1017"/>
          <cell r="E1017"/>
          <cell r="F1017"/>
          <cell r="G1017"/>
        </row>
        <row r="1018">
          <cell r="C1018"/>
          <cell r="D1018"/>
          <cell r="E1018"/>
          <cell r="F1018"/>
          <cell r="G1018"/>
        </row>
        <row r="1019">
          <cell r="C1019"/>
          <cell r="D1019"/>
          <cell r="E1019"/>
          <cell r="F1019"/>
          <cell r="G1019"/>
        </row>
        <row r="1020">
          <cell r="C1020"/>
          <cell r="D1020"/>
          <cell r="E1020"/>
          <cell r="F1020"/>
          <cell r="G1020"/>
        </row>
        <row r="1021">
          <cell r="C1021"/>
          <cell r="D1021"/>
          <cell r="E1021"/>
          <cell r="F1021"/>
          <cell r="G1021"/>
        </row>
        <row r="1022">
          <cell r="C1022"/>
          <cell r="D1022"/>
          <cell r="E1022"/>
          <cell r="F1022"/>
          <cell r="G1022"/>
        </row>
        <row r="1023">
          <cell r="C1023"/>
          <cell r="D1023"/>
          <cell r="E1023"/>
          <cell r="F1023"/>
          <cell r="G1023"/>
        </row>
        <row r="1024">
          <cell r="C1024"/>
          <cell r="D1024"/>
          <cell r="E1024"/>
          <cell r="F1024"/>
          <cell r="G1024"/>
        </row>
        <row r="1025">
          <cell r="C1025"/>
          <cell r="D1025"/>
          <cell r="E1025"/>
          <cell r="F1025"/>
          <cell r="G1025"/>
        </row>
        <row r="1026">
          <cell r="C1026"/>
          <cell r="D1026"/>
          <cell r="E1026"/>
          <cell r="F1026"/>
          <cell r="G1026"/>
        </row>
        <row r="1027">
          <cell r="C1027"/>
          <cell r="D1027"/>
          <cell r="E1027"/>
          <cell r="F1027"/>
          <cell r="G1027"/>
        </row>
        <row r="1028">
          <cell r="C1028"/>
          <cell r="D1028"/>
          <cell r="E1028"/>
          <cell r="F1028"/>
          <cell r="G1028"/>
        </row>
        <row r="1029">
          <cell r="C1029"/>
          <cell r="D1029"/>
          <cell r="E1029"/>
          <cell r="F1029"/>
          <cell r="G1029"/>
        </row>
        <row r="1030">
          <cell r="C1030"/>
          <cell r="D1030"/>
          <cell r="E1030"/>
          <cell r="F1030"/>
          <cell r="G1030"/>
        </row>
        <row r="1031">
          <cell r="C1031"/>
          <cell r="D1031"/>
          <cell r="E1031"/>
          <cell r="F1031"/>
          <cell r="G1031"/>
        </row>
        <row r="1032">
          <cell r="C1032"/>
          <cell r="D1032"/>
          <cell r="E1032"/>
          <cell r="F1032"/>
          <cell r="G1032"/>
        </row>
        <row r="1033">
          <cell r="C1033"/>
          <cell r="D1033"/>
          <cell r="E1033"/>
          <cell r="F1033"/>
          <cell r="G1033"/>
        </row>
        <row r="1034">
          <cell r="C1034"/>
          <cell r="D1034"/>
          <cell r="E1034"/>
          <cell r="F1034"/>
          <cell r="G1034"/>
        </row>
        <row r="1035">
          <cell r="C1035"/>
          <cell r="D1035"/>
          <cell r="E1035"/>
          <cell r="F1035"/>
          <cell r="G1035"/>
        </row>
      </sheetData>
      <sheetData sheetId="7"/>
      <sheetData sheetId="8">
        <row r="22">
          <cell r="S22">
            <v>0</v>
          </cell>
        </row>
        <row r="23">
          <cell r="S23">
            <v>-8</v>
          </cell>
        </row>
        <row r="24">
          <cell r="S24">
            <v>-70</v>
          </cell>
        </row>
        <row r="25">
          <cell r="S25">
            <v>-107</v>
          </cell>
        </row>
        <row r="26">
          <cell r="S26">
            <v>-94</v>
          </cell>
        </row>
        <row r="27">
          <cell r="S27">
            <v>-192</v>
          </cell>
        </row>
        <row r="28">
          <cell r="S28">
            <v>-2</v>
          </cell>
        </row>
        <row r="29">
          <cell r="S29">
            <v>-352</v>
          </cell>
        </row>
        <row r="30">
          <cell r="S30">
            <v>-611</v>
          </cell>
        </row>
        <row r="31">
          <cell r="S31">
            <v>-1460</v>
          </cell>
        </row>
        <row r="32">
          <cell r="S32">
            <v>-2666</v>
          </cell>
        </row>
        <row r="33">
          <cell r="S33">
            <v>-2699</v>
          </cell>
        </row>
        <row r="34">
          <cell r="S34">
            <v>-3324</v>
          </cell>
        </row>
        <row r="35">
          <cell r="S35">
            <v>-4073</v>
          </cell>
        </row>
        <row r="36">
          <cell r="S36">
            <v>-5084</v>
          </cell>
        </row>
        <row r="37">
          <cell r="S37">
            <v>-4797</v>
          </cell>
        </row>
        <row r="38">
          <cell r="S38">
            <v>-5160</v>
          </cell>
        </row>
        <row r="39">
          <cell r="S39">
            <v>-7036</v>
          </cell>
        </row>
        <row r="40">
          <cell r="S40">
            <v>-6999</v>
          </cell>
        </row>
        <row r="41">
          <cell r="S41">
            <v>-7534</v>
          </cell>
        </row>
        <row r="42">
          <cell r="S42">
            <v>-7238</v>
          </cell>
        </row>
        <row r="43">
          <cell r="S43">
            <v>-7015</v>
          </cell>
        </row>
        <row r="44">
          <cell r="S44">
            <v>-9170</v>
          </cell>
        </row>
        <row r="45">
          <cell r="S45">
            <v>-8115</v>
          </cell>
        </row>
        <row r="46">
          <cell r="S46">
            <v>-8558</v>
          </cell>
        </row>
        <row r="47">
          <cell r="S47">
            <v>-10481</v>
          </cell>
        </row>
        <row r="48">
          <cell r="S48">
            <v>-10846</v>
          </cell>
        </row>
        <row r="49">
          <cell r="S49">
            <v>-9327</v>
          </cell>
        </row>
        <row r="50">
          <cell r="S50">
            <v>-8655</v>
          </cell>
        </row>
        <row r="51">
          <cell r="S51">
            <v>-8060</v>
          </cell>
        </row>
        <row r="52">
          <cell r="S52">
            <v>-11186</v>
          </cell>
        </row>
        <row r="53">
          <cell r="S53">
            <v>-10718</v>
          </cell>
        </row>
        <row r="54">
          <cell r="S54">
            <v>-10569</v>
          </cell>
        </row>
        <row r="55">
          <cell r="S55">
            <v>-8678</v>
          </cell>
        </row>
        <row r="56">
          <cell r="S56">
            <v>15880</v>
          </cell>
        </row>
        <row r="57">
          <cell r="S57">
            <v>-6716</v>
          </cell>
        </row>
        <row r="58">
          <cell r="S58">
            <v>-7271</v>
          </cell>
        </row>
        <row r="59">
          <cell r="S59">
            <v>-11434</v>
          </cell>
        </row>
        <row r="60">
          <cell r="S60">
            <v>-9237</v>
          </cell>
        </row>
        <row r="61">
          <cell r="S61">
            <v>-6906</v>
          </cell>
        </row>
        <row r="62">
          <cell r="S62">
            <v>-6877</v>
          </cell>
        </row>
        <row r="63">
          <cell r="S63">
            <v>-5908</v>
          </cell>
        </row>
        <row r="64">
          <cell r="S64">
            <v>-5034</v>
          </cell>
        </row>
        <row r="65">
          <cell r="S65">
            <v>-5103</v>
          </cell>
        </row>
        <row r="66">
          <cell r="S66">
            <v>-4703</v>
          </cell>
        </row>
        <row r="67">
          <cell r="S67">
            <v>-5238</v>
          </cell>
        </row>
        <row r="68">
          <cell r="S68">
            <v>-8130</v>
          </cell>
        </row>
        <row r="69">
          <cell r="S69">
            <v>-10553</v>
          </cell>
        </row>
        <row r="70">
          <cell r="S70">
            <v>-5902</v>
          </cell>
        </row>
        <row r="71">
          <cell r="S71">
            <v>-3951</v>
          </cell>
        </row>
        <row r="72">
          <cell r="S72">
            <v>24633</v>
          </cell>
        </row>
        <row r="73">
          <cell r="S73">
            <v>-2977</v>
          </cell>
        </row>
        <row r="74">
          <cell r="S74">
            <v>-3148</v>
          </cell>
        </row>
        <row r="75">
          <cell r="S75">
            <v>-2526</v>
          </cell>
        </row>
        <row r="76">
          <cell r="S76">
            <v>-3310</v>
          </cell>
        </row>
        <row r="77">
          <cell r="S77">
            <v>-2028</v>
          </cell>
        </row>
        <row r="78">
          <cell r="S78">
            <v>-2538</v>
          </cell>
        </row>
        <row r="79">
          <cell r="S79">
            <v>-2239</v>
          </cell>
        </row>
        <row r="80">
          <cell r="S80">
            <v>-7139</v>
          </cell>
        </row>
        <row r="81">
          <cell r="S81">
            <v>-2541</v>
          </cell>
        </row>
        <row r="82">
          <cell r="S82">
            <v>-2107</v>
          </cell>
        </row>
        <row r="83">
          <cell r="S83">
            <v>-1913</v>
          </cell>
        </row>
        <row r="84">
          <cell r="S84">
            <v>-1447</v>
          </cell>
        </row>
        <row r="85">
          <cell r="S85">
            <v>-1303</v>
          </cell>
        </row>
        <row r="86">
          <cell r="S86">
            <v>-1114</v>
          </cell>
        </row>
        <row r="87">
          <cell r="S87">
            <v>-1662</v>
          </cell>
        </row>
        <row r="88">
          <cell r="S88">
            <v>-1825</v>
          </cell>
        </row>
        <row r="89">
          <cell r="S89">
            <v>-2218</v>
          </cell>
        </row>
        <row r="90">
          <cell r="S90">
            <v>-1925</v>
          </cell>
        </row>
        <row r="91">
          <cell r="S91">
            <v>-1304</v>
          </cell>
        </row>
        <row r="92">
          <cell r="S92">
            <v>-950</v>
          </cell>
        </row>
        <row r="93">
          <cell r="S93">
            <v>-1269</v>
          </cell>
        </row>
        <row r="94">
          <cell r="S94">
            <v>-1525</v>
          </cell>
        </row>
        <row r="95">
          <cell r="S95">
            <v>-1148</v>
          </cell>
        </row>
        <row r="96">
          <cell r="S96">
            <v>-1230</v>
          </cell>
        </row>
        <row r="97">
          <cell r="S97">
            <v>-1772</v>
          </cell>
        </row>
        <row r="98">
          <cell r="S98">
            <v>-801</v>
          </cell>
        </row>
        <row r="99">
          <cell r="S99">
            <v>-1049</v>
          </cell>
        </row>
        <row r="100">
          <cell r="S100">
            <v>-909</v>
          </cell>
        </row>
        <row r="101">
          <cell r="S101">
            <v>-940</v>
          </cell>
        </row>
        <row r="102">
          <cell r="S102">
            <v>-1446</v>
          </cell>
        </row>
        <row r="103">
          <cell r="S103">
            <v>-1216</v>
          </cell>
        </row>
        <row r="104">
          <cell r="S104">
            <v>-1056</v>
          </cell>
        </row>
        <row r="105">
          <cell r="S105">
            <v>-785</v>
          </cell>
        </row>
        <row r="106">
          <cell r="S106">
            <v>-765</v>
          </cell>
        </row>
        <row r="107">
          <cell r="S107">
            <v>-1177</v>
          </cell>
        </row>
        <row r="108">
          <cell r="S108">
            <v>-805</v>
          </cell>
        </row>
        <row r="109">
          <cell r="S109">
            <v>-794</v>
          </cell>
        </row>
        <row r="110">
          <cell r="S110">
            <v>-839</v>
          </cell>
        </row>
        <row r="111">
          <cell r="S111">
            <v>-839</v>
          </cell>
        </row>
        <row r="112">
          <cell r="S112">
            <v>-498</v>
          </cell>
        </row>
        <row r="113">
          <cell r="S113">
            <v>-559</v>
          </cell>
        </row>
        <row r="114">
          <cell r="S114">
            <v>-562</v>
          </cell>
        </row>
        <row r="115">
          <cell r="S115">
            <v>-463</v>
          </cell>
        </row>
        <row r="116">
          <cell r="S116">
            <v>-544</v>
          </cell>
        </row>
        <row r="117">
          <cell r="S117">
            <v>-634</v>
          </cell>
        </row>
        <row r="118">
          <cell r="S118">
            <v>-731</v>
          </cell>
        </row>
        <row r="119">
          <cell r="S119">
            <v>-517</v>
          </cell>
        </row>
        <row r="120">
          <cell r="S120">
            <v>-530</v>
          </cell>
        </row>
        <row r="121">
          <cell r="S121">
            <v>-544</v>
          </cell>
        </row>
        <row r="122">
          <cell r="S122">
            <v>-420</v>
          </cell>
        </row>
        <row r="123">
          <cell r="S123">
            <v>-460</v>
          </cell>
        </row>
        <row r="124">
          <cell r="S124">
            <v>-662</v>
          </cell>
        </row>
        <row r="125">
          <cell r="S125">
            <v>-587</v>
          </cell>
        </row>
        <row r="126">
          <cell r="S126">
            <v>-664</v>
          </cell>
        </row>
        <row r="127">
          <cell r="S127">
            <v>-348</v>
          </cell>
        </row>
        <row r="128">
          <cell r="S128">
            <v>-597</v>
          </cell>
        </row>
        <row r="129">
          <cell r="S129">
            <v>-581</v>
          </cell>
        </row>
        <row r="130">
          <cell r="S130">
            <v>-449</v>
          </cell>
        </row>
        <row r="131">
          <cell r="S131">
            <v>-805</v>
          </cell>
        </row>
        <row r="132">
          <cell r="S132">
            <v>-703</v>
          </cell>
        </row>
        <row r="133">
          <cell r="S133">
            <v>-616</v>
          </cell>
        </row>
        <row r="134">
          <cell r="S134">
            <v>-233</v>
          </cell>
        </row>
        <row r="135">
          <cell r="S135">
            <v>-205</v>
          </cell>
        </row>
        <row r="136">
          <cell r="S136">
            <v>-522</v>
          </cell>
        </row>
        <row r="137">
          <cell r="S137">
            <v>-767</v>
          </cell>
        </row>
        <row r="138">
          <cell r="S138">
            <v>-822</v>
          </cell>
        </row>
        <row r="139">
          <cell r="S139">
            <v>-643</v>
          </cell>
        </row>
        <row r="140">
          <cell r="S140">
            <v>-442</v>
          </cell>
        </row>
        <row r="141">
          <cell r="S141">
            <v>-446</v>
          </cell>
        </row>
        <row r="142">
          <cell r="S142">
            <v>-537</v>
          </cell>
        </row>
        <row r="143">
          <cell r="S143">
            <v>-598</v>
          </cell>
        </row>
        <row r="144">
          <cell r="S144">
            <v>-490</v>
          </cell>
        </row>
        <row r="145">
          <cell r="S145">
            <v>-694</v>
          </cell>
        </row>
        <row r="146">
          <cell r="S146">
            <v>-624</v>
          </cell>
        </row>
        <row r="147">
          <cell r="S147">
            <v>-589</v>
          </cell>
        </row>
        <row r="148">
          <cell r="S148">
            <v>-479</v>
          </cell>
        </row>
        <row r="149">
          <cell r="S149">
            <v>-863</v>
          </cell>
        </row>
        <row r="150">
          <cell r="S150">
            <v>-741</v>
          </cell>
        </row>
        <row r="151">
          <cell r="S151">
            <v>-684</v>
          </cell>
        </row>
        <row r="152">
          <cell r="S152">
            <v>-673</v>
          </cell>
        </row>
        <row r="153">
          <cell r="S153">
            <v>-660</v>
          </cell>
        </row>
        <row r="154">
          <cell r="S154">
            <v>-405</v>
          </cell>
        </row>
        <row r="155">
          <cell r="S155">
            <v>-451</v>
          </cell>
        </row>
        <row r="156">
          <cell r="S156">
            <v>-782</v>
          </cell>
        </row>
        <row r="157">
          <cell r="S157">
            <v>-621</v>
          </cell>
        </row>
        <row r="158">
          <cell r="S158">
            <v>-731</v>
          </cell>
        </row>
        <row r="159">
          <cell r="S159">
            <v>-667</v>
          </cell>
        </row>
        <row r="160">
          <cell r="S160">
            <v>-670</v>
          </cell>
        </row>
        <row r="161">
          <cell r="S161">
            <v>-452</v>
          </cell>
        </row>
        <row r="162">
          <cell r="S162">
            <v>-558</v>
          </cell>
        </row>
        <row r="163">
          <cell r="S163">
            <v>-487</v>
          </cell>
        </row>
        <row r="164">
          <cell r="S164">
            <v>-628</v>
          </cell>
        </row>
        <row r="165">
          <cell r="S165">
            <v>-704</v>
          </cell>
        </row>
        <row r="166">
          <cell r="S166">
            <v>-562</v>
          </cell>
        </row>
        <row r="167">
          <cell r="S167">
            <v>-674</v>
          </cell>
        </row>
        <row r="168">
          <cell r="S168">
            <v>-443</v>
          </cell>
        </row>
        <row r="169">
          <cell r="S169">
            <v>-488</v>
          </cell>
        </row>
        <row r="170">
          <cell r="S170">
            <v>-699</v>
          </cell>
        </row>
        <row r="171">
          <cell r="S171">
            <v>-552</v>
          </cell>
        </row>
        <row r="172">
          <cell r="S172">
            <v>-641</v>
          </cell>
        </row>
        <row r="173">
          <cell r="S173">
            <v>-656</v>
          </cell>
        </row>
        <row r="174">
          <cell r="S174">
            <v>-624</v>
          </cell>
        </row>
        <row r="175">
          <cell r="S175">
            <v>-435</v>
          </cell>
        </row>
        <row r="176">
          <cell r="S176">
            <v>-429</v>
          </cell>
        </row>
        <row r="177">
          <cell r="S177">
            <v>-624</v>
          </cell>
        </row>
        <row r="178">
          <cell r="S178">
            <v>-637</v>
          </cell>
        </row>
        <row r="179">
          <cell r="S179">
            <v>-672</v>
          </cell>
        </row>
        <row r="180">
          <cell r="S180">
            <v>-637</v>
          </cell>
        </row>
        <row r="181">
          <cell r="S181">
            <v>-650</v>
          </cell>
        </row>
        <row r="182">
          <cell r="S182">
            <v>-534</v>
          </cell>
        </row>
        <row r="183">
          <cell r="S183">
            <v>-355</v>
          </cell>
        </row>
        <row r="184">
          <cell r="S184">
            <v>-604</v>
          </cell>
        </row>
        <row r="185">
          <cell r="S185">
            <v>-561</v>
          </cell>
        </row>
        <row r="186">
          <cell r="S186">
            <v>-523</v>
          </cell>
        </row>
        <row r="187">
          <cell r="S187">
            <v>-630</v>
          </cell>
        </row>
        <row r="188">
          <cell r="S188">
            <v>-585</v>
          </cell>
        </row>
        <row r="189">
          <cell r="S189">
            <v>-485</v>
          </cell>
        </row>
        <row r="190">
          <cell r="S190">
            <v>-364</v>
          </cell>
        </row>
        <row r="191">
          <cell r="S191">
            <v>-582</v>
          </cell>
        </row>
        <row r="192">
          <cell r="S192">
            <v>-506</v>
          </cell>
        </row>
        <row r="193">
          <cell r="S193">
            <v>-732</v>
          </cell>
        </row>
        <row r="194">
          <cell r="S194">
            <v>-563</v>
          </cell>
        </row>
        <row r="195">
          <cell r="S195">
            <v>-568</v>
          </cell>
        </row>
        <row r="196">
          <cell r="S196">
            <v>-626</v>
          </cell>
        </row>
        <row r="197">
          <cell r="S197">
            <v>-618</v>
          </cell>
        </row>
        <row r="198">
          <cell r="S198">
            <v>-712</v>
          </cell>
        </row>
        <row r="199">
          <cell r="S199">
            <v>-647</v>
          </cell>
        </row>
        <row r="200">
          <cell r="S200">
            <v>-837</v>
          </cell>
        </row>
        <row r="201">
          <cell r="S201">
            <v>-812</v>
          </cell>
        </row>
        <row r="202">
          <cell r="S202">
            <v>-742</v>
          </cell>
        </row>
        <row r="203">
          <cell r="S203">
            <v>-670</v>
          </cell>
        </row>
        <row r="204">
          <cell r="S204">
            <v>-474</v>
          </cell>
        </row>
        <row r="205">
          <cell r="S205">
            <v>-525</v>
          </cell>
        </row>
        <row r="206">
          <cell r="S206">
            <v>-540</v>
          </cell>
        </row>
        <row r="207">
          <cell r="S207">
            <v>-712</v>
          </cell>
        </row>
        <row r="208">
          <cell r="S208">
            <v>-815</v>
          </cell>
        </row>
        <row r="209">
          <cell r="S209">
            <v>-791</v>
          </cell>
        </row>
        <row r="210">
          <cell r="S210">
            <v>-665</v>
          </cell>
        </row>
        <row r="211">
          <cell r="S211">
            <v>-536</v>
          </cell>
        </row>
        <row r="212">
          <cell r="S212">
            <v>-733</v>
          </cell>
        </row>
        <row r="213">
          <cell r="S213">
            <v>-596</v>
          </cell>
        </row>
        <row r="214">
          <cell r="S214">
            <v>-837</v>
          </cell>
        </row>
        <row r="215">
          <cell r="S215">
            <v>-716</v>
          </cell>
        </row>
        <row r="216">
          <cell r="S216">
            <v>-921</v>
          </cell>
        </row>
        <row r="217">
          <cell r="S217">
            <v>-784</v>
          </cell>
        </row>
        <row r="218">
          <cell r="S218">
            <v>-534</v>
          </cell>
        </row>
        <row r="219">
          <cell r="S219">
            <v>-726</v>
          </cell>
        </row>
        <row r="220">
          <cell r="S220">
            <v>-605</v>
          </cell>
        </row>
        <row r="221">
          <cell r="S221">
            <v>-879</v>
          </cell>
        </row>
        <row r="222">
          <cell r="S222">
            <v>-834</v>
          </cell>
        </row>
      </sheetData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modities"/>
      <sheetName val="Equity"/>
      <sheetName val="E.Charts"/>
      <sheetName val="E.Data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9393CDC-A700-4199-B3A5-2768F3ED436B}" name="Table316" displayName="Table316" ref="B5:G41" totalsRowShown="0" headerRowDxfId="279" dataDxfId="278">
  <autoFilter ref="B5:G41" xr:uid="{E0190A1E-7FF3-41B1-A823-C787DC098445}"/>
  <tableColumns count="6">
    <tableColumn id="1" xr3:uid="{292DA5FC-1EBC-4537-A075-A413328793A1}" name="Asset Class" dataDxfId="277"/>
    <tableColumn id="2" xr3:uid="{50EA3D43-BA13-4517-856D-9EA15D8D220F}" name="Subasset Class" dataDxfId="276"/>
    <tableColumn id="3" xr3:uid="{5A59A2E2-ABE9-4632-A5D7-31A3537B6030}" name="Representative Index" dataDxfId="275"/>
    <tableColumn id="4" xr3:uid="{CD58FBBB-9764-4B7E-B560-1755612D0050}" name="Compound Return (%)" dataDxfId="274" dataCellStyle="Percent"/>
    <tableColumn id="5" xr3:uid="{BBF35AC2-962B-4613-96EE-83D5EEFCD066}" name="Expected Return (%)" dataDxfId="273" dataCellStyle="Percent"/>
    <tableColumn id="6" xr3:uid="{043F6A88-602F-4325-9978-10F54ABD81CA}" name="Annualized Risk (%)" dataDxfId="272" dataCellStyle="Percent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62202C3-04DA-45E5-90BB-ED1C3C5EF1A4}" name="Table419" displayName="Table419" ref="I5:AS41" headerRowDxfId="271" dataDxfId="270">
  <autoFilter ref="I5:AS41" xr:uid="{2AC6FBBD-A038-4612-AA39-A8AAB02AF8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xr3:uid="{E275DBA5-FE84-4B81-B5AF-36B835A5E24F}" name="Correlation Matrix" totalsRowLabel="Total" dataDxfId="269"/>
    <tableColumn id="2" xr3:uid="{60D71DEE-A76B-4BAD-AC7B-580B7B79817C}" name="US Stocks" dataDxfId="268"/>
    <tableColumn id="3" xr3:uid="{9BC7DA2F-AFA3-4C6A-96EF-5382A5C516EC}" name="Non-US Developed" dataDxfId="267"/>
    <tableColumn id="4" xr3:uid="{FF50BA72-68C2-4D10-B970-AD2DE6396D99}" name="Emerging Markets" dataDxfId="266"/>
    <tableColumn id="5" xr3:uid="{E03F6D63-5EA7-40B8-B8F4-838B7AE1E512}" name="Global Equity" dataDxfId="265"/>
    <tableColumn id="6" xr3:uid="{C9F3F452-C2A3-470A-A200-180A81AFE219}" name="Core US Bond" dataDxfId="264"/>
    <tableColumn id="7" xr3:uid="{774D1A6D-5FFD-4493-91A6-CF65CCF82E1C}" name="IG Corporate" dataDxfId="263"/>
    <tableColumn id="8" xr3:uid="{98F9FE8F-6333-44B6-BF7B-0A5FA7AFEE01}" name="10-yr Treasury" dataDxfId="262"/>
    <tableColumn id="9" xr3:uid="{5236DEE4-666C-4E8B-B151-39E1918093AE}" name="3M LIBOR (Cash)" dataDxfId="261"/>
    <tableColumn id="10" xr3:uid="{157DF296-42E2-4665-B493-B976E8B4E10B}" name="10-yr TIPS" dataDxfId="260"/>
    <tableColumn id="11" xr3:uid="{73A27130-34FB-41B3-B86F-DE3D1DC2B584}" name="High Yield Bonds" dataDxfId="259"/>
    <tableColumn id="12" xr3:uid="{8719DB48-2A99-4F54-9787-AD26436B325D}" name="Bank Loans" dataDxfId="258"/>
    <tableColumn id="13" xr3:uid="{6988F732-673F-44AA-B97E-496A3D3E48A1}" name="Emerging Market Debt" dataDxfId="257"/>
    <tableColumn id="14" xr3:uid="{4C611F16-D958-455D-AF1D-BC782833FEFF}" name="Private Real Estate (UL)" dataDxfId="256"/>
    <tableColumn id="15" xr3:uid="{01933AEF-5D66-40D0-8D10-6482AC728D6C}" name="Public REITs" dataDxfId="255"/>
    <tableColumn id="16" xr3:uid="{3FACA9B5-AC56-43CE-A2BB-8E3FBB33B850}" name="Private RE Partnerships" dataDxfId="254"/>
    <tableColumn id="17" xr3:uid="{C82D34B4-6DF5-41DB-BB32-2AC62CFD9E6A}" name="Diversified Private Equity" dataDxfId="253"/>
    <tableColumn id="18" xr3:uid="{CD7F017A-BB82-45D0-99A7-6D406442ED06}" name="Diversified Hedge Funds" dataDxfId="252"/>
    <tableColumn id="19" xr3:uid="{2610340B-0183-4097-A713-BC742D296160}" name="Energy Funds" dataDxfId="251"/>
    <tableColumn id="20" xr3:uid="{D6D8B88C-F6C9-4776-AB60-8DFB7E85D5A8}" name="Farmland" dataDxfId="250"/>
    <tableColumn id="21" xr3:uid="{B7C4D786-9FDE-4841-9681-9E1715F8E0EB}" name="Commodity Futures" totalsRowFunction="count" dataDxfId="249"/>
    <tableColumn id="22" xr3:uid="{438E4F16-8162-43CF-8D83-183CA8491C1F}" name="Infrastructure" dataDxfId="248"/>
    <tableColumn id="23" xr3:uid="{000B73A8-F657-47E7-BE50-789C426AD27C}" name="MLPs" dataDxfId="247"/>
    <tableColumn id="24" xr3:uid="{997E8AC7-7E9D-44DB-861D-1E6CF756A721}" name="Private Debt (UL)" dataDxfId="246"/>
    <tableColumn id="25" xr3:uid="{6EF6C9A2-1008-449B-9882-A8123633FCDD}" name="Private Debt (L1:0)" dataDxfId="245"/>
    <tableColumn id="26" xr3:uid="{E8E5AC3D-73A8-4660-9D6F-32F2EC2AADB7}" name="Public BDCs" dataDxfId="244"/>
    <tableColumn id="27" xr3:uid="{7ACD7E9B-CAAC-4320-B9C9-F161A4C83F25}" name="Buyouts" dataDxfId="243"/>
    <tableColumn id="28" xr3:uid="{D0F181F6-5FF9-4007-8241-4C9C5DD0402F}" name="Venture Capital " dataDxfId="242"/>
    <tableColumn id="29" xr3:uid="{5A5B7023-35D7-440A-9544-73F9E62E0C0F}" name="Directional HFs" dataDxfId="241"/>
    <tableColumn id="30" xr3:uid="{B9D857E6-88C3-4C33-8F2C-4B709135135B}" name="Absolute Return HFs" dataDxfId="240"/>
    <tableColumn id="31" xr3:uid="{9A8F37AE-6C98-4226-94B2-DA8787ABF9C4}" name="Market Neutral HFs" dataDxfId="239"/>
    <tableColumn id="32" xr3:uid="{0484AF56-D54D-4361-A886-2228E8A48F50}" name="Credit/Distressed HFs" dataDxfId="238"/>
    <tableColumn id="33" xr3:uid="{B7F07810-A82B-4FB1-8AF4-5F8750BED6AC}" name="Event Driven HFs" dataDxfId="237"/>
    <tableColumn id="34" xr3:uid="{0BCE8D0F-0E8E-45A2-B741-328C2BA5B30E}" name="Equity L/S HFs" dataDxfId="236"/>
    <tableColumn id="35" xr3:uid="{9E050965-3235-4A20-9C52-D8443755C0B4}" name="Macro (Discretionary) HFs" dataDxfId="235"/>
    <tableColumn id="36" xr3:uid="{D1297B51-DA56-4754-9A99-7480B55DCF65}" name="Macro (Trend) HFs" dataDxfId="234"/>
    <tableColumn id="37" xr3:uid="{069B1464-13B2-491D-89BB-C97DE7FDA805}" name="Multi Strategy HFs" dataDxfId="233"/>
  </tableColumns>
  <tableStyleInfo name="TableStyleLight17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1893790-8BD4-4231-948A-F0EEF9B48361}" name="Table31620" displayName="Table31620" ref="B5:G60" totalsRowShown="0" headerRowDxfId="232" dataDxfId="231">
  <autoFilter ref="B5:G60" xr:uid="{E0190A1E-7FF3-41B1-A823-C787DC098445}"/>
  <tableColumns count="6">
    <tableColumn id="1" xr3:uid="{241CF0D6-0769-4D24-9348-9AE2ADD84109}" name="Asset Class" dataDxfId="230"/>
    <tableColumn id="2" xr3:uid="{0399773C-CCDD-4312-98B0-5F485D76AD6A}" name="Subasset Class" dataDxfId="229"/>
    <tableColumn id="3" xr3:uid="{00C0BE76-0DE3-4313-8E5F-3A54D676AC22}" name="Representative Index" dataDxfId="228"/>
    <tableColumn id="4" xr3:uid="{7B11BCBC-0AE7-415F-B2D9-87C37C55B958}" name="Compound Return (%)" dataDxfId="227" dataCellStyle="Percent"/>
    <tableColumn id="5" xr3:uid="{A6D769B8-F56A-46EE-86B8-20A0F11BF404}" name="Expected Return (%)" dataDxfId="226" dataCellStyle="Percent"/>
    <tableColumn id="6" xr3:uid="{693E17E2-D09B-4F12-885C-54C97C32ADAB}" name="Annualized Risk (%)" dataDxfId="225" dataCellStyle="Percent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1B653B3-F9B9-461E-8AE6-2E999C7CA809}" name="Table41921" displayName="Table41921" ref="I5:BL60" headerRowDxfId="224" dataDxfId="223">
  <autoFilter ref="I5:BL60" xr:uid="{2AC6FBBD-A038-4612-AA39-A8AAB02AF8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64E9EBF-86F6-4A63-9804-71413ADEF758}" name="Correlation Matrix" totalsRowLabel="Total" dataDxfId="222"/>
    <tableColumn id="2" xr3:uid="{C5BE9150-85F6-4463-9E09-208B174BABD7}" name="All Cap" dataDxfId="221"/>
    <tableColumn id="3" xr3:uid="{AF5D16F5-1DCD-4198-A4C7-3911248B014F}" name="Alternative" dataDxfId="220"/>
    <tableColumn id="4" xr3:uid="{587316F8-F339-451D-82C2-F06D7E5F2A30}" name="Alternative Fixed Income" dataDxfId="219"/>
    <tableColumn id="5" xr3:uid="{472289CB-EE67-4031-8902-49233C9ECFF7}" name="Asset Allocated, Balanced, Other" dataDxfId="218"/>
    <tableColumn id="6" xr3:uid="{4EE950B8-0E6A-4F84-B193-514A0FB01665}" name="Asset Allocated, Balanced, Other2" dataDxfId="217"/>
    <tableColumn id="7" xr3:uid="{7D354C33-0A5C-4534-8A25-99B5B2A1AC20}" name="Bank Loan" dataDxfId="216"/>
    <tableColumn id="8" xr3:uid="{AFC71FD0-1A03-47F5-A50B-081FD4E22729}" name="Bear Market" dataDxfId="215"/>
    <tableColumn id="9" xr3:uid="{BA302997-FB9F-4C42-8F94-1B0D899300CF}" name="Cash" dataDxfId="214"/>
    <tableColumn id="10" xr3:uid="{36602273-26BA-45CC-8B73-B3A0E6BAB74B}" name="Commodity" dataDxfId="213"/>
    <tableColumn id="11" xr3:uid="{9ADE4046-758E-4745-A1D7-65111B4550F1}" name="Emerging-Markets Bond" dataDxfId="212"/>
    <tableColumn id="12" xr3:uid="{08224CE1-4CAD-49CA-B0F9-E039650F065C}" name="Equity Market Neutral" dataDxfId="211"/>
    <tableColumn id="13" xr3:uid="{C2C1616A-E634-4566-B09A-40ECC6D841AF}" name="Event Driven" dataDxfId="210"/>
    <tableColumn id="14" xr3:uid="{A5C37983-CAB1-4A95-BA5C-F825F98C4AD2}" name="Foreign Large Cap Core" dataDxfId="209"/>
    <tableColumn id="15" xr3:uid="{DCCF74ED-4781-46B7-8AF6-0F87CD584E4C}" name="Foreign Large Cap Growth" dataDxfId="208"/>
    <tableColumn id="16" xr3:uid="{8716D9E5-BAC2-4000-B820-B5B0E5EB3E54}" name="Foreign Large Cap Value" dataDxfId="207"/>
    <tableColumn id="17" xr3:uid="{2F29F390-C7FA-4856-8676-77E6C2340707}" name="Foreign Small Mid Cap Core" dataDxfId="206"/>
    <tableColumn id="18" xr3:uid="{5854E479-2E76-4353-90F6-E90117FC7CE3}" name="Foreign Small Mid Cap Growth" dataDxfId="205"/>
    <tableColumn id="19" xr3:uid="{A433900F-7EBB-44FA-A5DA-FD77BA96293F}" name="Foreign Small Mid Cap Value" dataDxfId="204"/>
    <tableColumn id="20" xr3:uid="{8EACD798-5081-4D83-B671-4812F60D47DE}" name="Global Equity" dataDxfId="203"/>
    <tableColumn id="21" xr3:uid="{EF2B5293-C96C-4E67-B32F-4703670509C5}" name="Global Macro" totalsRowFunction="count" dataDxfId="202"/>
    <tableColumn id="22" xr3:uid="{B80C63C0-A507-4250-96FD-54922416AC60}" name="Hedged Equity" dataDxfId="201"/>
    <tableColumn id="23" xr3:uid="{C7342600-3BEE-4B15-9490-A548DF2C3CE2}" name="High Yield" dataDxfId="200"/>
    <tableColumn id="24" xr3:uid="{626ADC59-6381-49F3-9E62-86CDBD74A27C}" name="Inflation-Protected Bond" dataDxfId="199"/>
    <tableColumn id="25" xr3:uid="{28E47F9A-964C-4EB8-9EAD-1B4966E3BF30}" name="Int'l Developed Mkts" dataDxfId="198"/>
    <tableColumn id="26" xr3:uid="{869E27DC-3689-4CAA-9E20-15CA815BFAC9}" name="Int'l Emerging Mkts" dataDxfId="197"/>
    <tableColumn id="27" xr3:uid="{7C6AF74F-F19B-416F-A4F3-FF986FCD978F}" name="Intermediate Bond" dataDxfId="196"/>
    <tableColumn id="28" xr3:uid="{02A51AF3-089A-44BF-BFB2-ED074B9F9E9D}" name="Intermediate Muni" dataDxfId="195"/>
    <tableColumn id="29" xr3:uid="{66A56554-BE99-4E48-9EA9-23B5A995EF61}" name="International Bond" dataDxfId="194"/>
    <tableColumn id="30" xr3:uid="{EFC461B1-D36A-4356-A7DB-5E186E4632DC}" name="Inverse" dataDxfId="193"/>
    <tableColumn id="31" xr3:uid="{BBB500F2-112D-43CA-8B78-EDC9A6DFCFE6}" name="Large-Cap Core" dataDxfId="192"/>
    <tableColumn id="32" xr3:uid="{452DE644-87EA-4479-99A9-3180384C00F3}" name="Large-Cap Growth" dataDxfId="191"/>
    <tableColumn id="33" xr3:uid="{DDA76A8F-6A8C-4A7E-8634-A85E98FC1B3C}" name="Large-Cap Value" dataDxfId="190"/>
    <tableColumn id="34" xr3:uid="{9ADF367D-550B-4DEF-B73B-11F3AB627A4B}" name="Leveraged" dataDxfId="189"/>
    <tableColumn id="35" xr3:uid="{38D46D81-8EAF-4C8C-B553-597DBCB7E4EF}" name="Long Bond" dataDxfId="188"/>
    <tableColumn id="36" xr3:uid="{BD2DDD0D-2960-46EA-95DA-DBCA7C3E715E}" name="Long Muni" dataDxfId="187"/>
    <tableColumn id="37" xr3:uid="{58986B0D-0AAA-42FE-AA6F-C8CD2648DF3A}" name="Long/Short Credit" dataDxfId="186"/>
    <tableColumn id="38" xr3:uid="{A7567CD0-D0FE-4157-B914-39DCD380AC61}" name="Managed Futures" dataDxfId="185"/>
    <tableColumn id="39" xr3:uid="{9A9656DD-B6E0-4932-B4DA-B1A3DEDA9A95}" name="Mid-Cap Core" dataDxfId="184"/>
    <tableColumn id="40" xr3:uid="{C6B4D94C-0CD8-4166-AF56-0B6D5F8A9AF5}" name="Mid-Cap Growth" dataDxfId="183"/>
    <tableColumn id="41" xr3:uid="{DDC55C46-7117-4075-9550-EEC2D6A0CC8D}" name="Mid-Cap Value" dataDxfId="182"/>
    <tableColumn id="42" xr3:uid="{DAB96155-12F3-4068-A521-AFCE451553CB}" name="Multi-Strategy" dataDxfId="181"/>
    <tableColumn id="43" xr3:uid="{E43FCE30-39D1-4417-AD75-C2DA13223ADF}" name="Private Credit" dataDxfId="180"/>
    <tableColumn id="44" xr3:uid="{0AEFC5EB-C60D-4574-9BDE-8553388AE620}" name="Private Equity" dataDxfId="179"/>
    <tableColumn id="45" xr3:uid="{5195986D-61F8-4E92-867E-45DB4CBFC2F6}" name="Private Real Estate" dataDxfId="178"/>
    <tableColumn id="46" xr3:uid="{A4E08925-2F90-4D72-90D7-669872B527D1}" name="Asset Allocated, Balanced, Other3" dataDxfId="177"/>
    <tableColumn id="47" xr3:uid="{35D1D846-C26E-4159-9AE3-9F42A1A1CB3B}" name="REITs" dataDxfId="176"/>
    <tableColumn id="48" xr3:uid="{6BBDE0E5-0862-4FEE-8491-8A5674F5CC63}" name="Short Bond" dataDxfId="175"/>
    <tableColumn id="49" xr3:uid="{2848CD1C-B80F-4B32-B021-1970E788BF45}" name="Short Muni" dataDxfId="174"/>
    <tableColumn id="50" xr3:uid="{EAD02040-EB81-4406-8DE9-BFE98EE198BB}" name="Small-Cap Core" dataDxfId="173"/>
    <tableColumn id="51" xr3:uid="{B5E931E3-F5F9-4F82-96D7-4CF11F9569BE}" name="Small-Cap Growth" dataDxfId="172"/>
    <tableColumn id="52" xr3:uid="{640F4647-4358-42DF-912B-58DC5EE3AA73}" name="Small-Cap Value" dataDxfId="171"/>
    <tableColumn id="53" xr3:uid="{6FEC22F3-7B0B-49CF-A595-A57704D543E9}" name="Structured – Minimal Market_x000a_Sensitivity" dataDxfId="170"/>
    <tableColumn id="54" xr3:uid="{EE989EB7-60DA-4E11-8FE2-E91EAA33D9DA}" name="Structured – Low Market_x000a_Sensitivity" dataDxfId="169"/>
    <tableColumn id="55" xr3:uid="{8E92E343-7B9D-49EB-8389-81448C52F22B}" name="Structured – Medium Market_x000a_Sensitivity" dataDxfId="168"/>
    <tableColumn id="56" xr3:uid="{B9F23BEE-90A8-4C8E-B279-55A9BFBEA94A}" name="Structured – High Market_x000a_Sensitivity" dataDxfId="167"/>
  </tableColumns>
  <tableStyleInfo name="TableStyleLight17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E1458B4-F72F-4DF9-9E74-903332B6FCE8}" name="Table3162022" displayName="Table3162022" ref="B5:G64" totalsRowShown="0" headerRowDxfId="166" dataDxfId="165">
  <autoFilter ref="B5:G64" xr:uid="{E0190A1E-7FF3-41B1-A823-C787DC098445}"/>
  <tableColumns count="6">
    <tableColumn id="1" xr3:uid="{EDCB6DD6-E7F6-4787-AE8E-6E5972274879}" name="Asset Class" dataDxfId="164"/>
    <tableColumn id="2" xr3:uid="{47576C19-A167-41A2-9306-BD25AC4531E8}" name="Subasset Class" dataDxfId="163"/>
    <tableColumn id="3" xr3:uid="{B22D5F20-EF60-4D70-9439-00006DF4968D}" name="Representative Index" dataDxfId="162"/>
    <tableColumn id="4" xr3:uid="{689A335D-C067-426E-9984-15BEB23C490F}" name="Compound Return (%)" dataDxfId="161" dataCellStyle="Percent"/>
    <tableColumn id="5" xr3:uid="{7B9AADAB-498A-4B08-AA8F-C61A8517D468}" name="Expected Return (%)" dataDxfId="160" dataCellStyle="Percent"/>
    <tableColumn id="6" xr3:uid="{CC42BA7A-6F20-41AE-AA54-3C55FB3004C0}" name="Annualized Risk (%)" dataDxfId="159" dataCellStyle="Percent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B1CFE16-4F01-4AC0-A69D-8965A6E40772}" name="Table4192123" displayName="Table4192123" ref="I5:BP64" headerRowDxfId="158" dataDxfId="157">
  <autoFilter ref="I5:BP64" xr:uid="{2AC6FBBD-A038-4612-AA39-A8AAB02AF8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0984342B-9462-4F15-B8B6-38E0BDE639C8}" name="Correlation Matrix" totalsRowLabel="Total" dataDxfId="156"/>
    <tableColumn id="2" xr3:uid="{78A12047-F63F-4644-BABB-92F725B6B361}" name="U.S. Inflation" dataDxfId="155"/>
    <tableColumn id="3" xr3:uid="{FB51C266-192A-44E1-9F23-AF12FF0F4FFC}" name="U.S. Cash" dataDxfId="154"/>
    <tableColumn id="4" xr3:uid="{CA39FECF-7F13-49B5-B5BA-04B1F6202B53}" name="U.S. Intermediate Treasuries" dataDxfId="153"/>
    <tableColumn id="5" xr3:uid="{C38D7AC4-1150-4E77-9652-0BA831CFA8E0}" name="U.S. Long Treasuries" dataDxfId="152"/>
    <tableColumn id="6" xr3:uid="{6432DDCB-279C-4F91-A40B-C3DE667A0B39}" name="TIPS" dataDxfId="151"/>
    <tableColumn id="7" xr3:uid="{35FA70DB-B00E-450E-8852-52F54E27A1A7}" name="U.S. Aggregate Bonds" dataDxfId="150"/>
    <tableColumn id="8" xr3:uid="{CB401366-E465-4BD1-9A96-5F0CBDEB5CB9}" name="U.S. Securitized" dataDxfId="149"/>
    <tableColumn id="9" xr3:uid="{D59A6AB2-E921-43D8-955E-F03DFAB85615}" name="U.S. Short Duration Government/Credit" dataDxfId="148"/>
    <tableColumn id="10" xr3:uid="{59C0714E-010A-404C-9AE2-72687BF6E990}" name="U.S. Long Duration Government/Credit" dataDxfId="147"/>
    <tableColumn id="11" xr3:uid="{C47FD3BC-7FE8-43EA-BA05-193E5599334A}" name="U.S. Inv Grade Corporate Bonds" dataDxfId="146"/>
    <tableColumn id="12" xr3:uid="{E2A4593A-5670-434B-B553-3A329CBC9979}" name="U.S. Long Corporate Bonds" dataDxfId="145"/>
    <tableColumn id="13" xr3:uid="{3014C580-A4C0-4876-8FDE-0A573B618DBE}" name="U.S. High Yield Bonds" dataDxfId="144"/>
    <tableColumn id="14" xr3:uid="{7AC8B3B1-1E62-479E-807D-BFAB4B4FC1B9}" name="U.S. Leveraged Loans" dataDxfId="143"/>
    <tableColumn id="15" xr3:uid="{C0F40EDD-1822-4D0B-B335-E77306C542FA}" name="World Government Bonds hedged" dataDxfId="142"/>
    <tableColumn id="16" xr3:uid="{99CC8EBA-542B-459F-9DC2-383853158507}" name="World Government Bonds" dataDxfId="141"/>
    <tableColumn id="17" xr3:uid="{B437828F-7B0A-4FB5-92E0-F54AFCB1C7E6}" name="World ex-U.S. Government Bonds hedged" dataDxfId="140"/>
    <tableColumn id="18" xr3:uid="{B2AEB039-E3DF-49E1-9B78-5FE46C3B415C}" name="World ex-U.S. Government Bonds" dataDxfId="139"/>
    <tableColumn id="19" xr3:uid="{05AC45F2-EDD4-43C7-A1C5-F076EFE30E1B}" name="Emerging Markets Sovereign Debt" dataDxfId="138"/>
    <tableColumn id="20" xr3:uid="{AD037E27-3435-4718-B8F5-1444AFF06D4C}" name="Emerging Markets Local Currency Debt" dataDxfId="137"/>
    <tableColumn id="21" xr3:uid="{9CE410A6-8414-4E83-8CE8-2CC9015D4154}" name="Emerging Markets Corporate Bonds" totalsRowFunction="count" dataDxfId="136"/>
    <tableColumn id="22" xr3:uid="{500D6733-083C-4076-9F6C-C0561EF229A9}" name="U.S. Muni 1-15 Yr Blend" dataDxfId="135"/>
    <tableColumn id="23" xr3:uid="{086FF901-C977-416D-9FE2-9752E0BFE6FC}" name="U.S. Muni High Yield" dataDxfId="134"/>
    <tableColumn id="24" xr3:uid="{F68A2A44-1732-425E-B84E-DA771AA053C4}" name="U.S. Large Cap" dataDxfId="133"/>
    <tableColumn id="25" xr3:uid="{F46EA0C5-D3DC-45DC-9C7E-4325F84C2F07}" name="U.S. Mid Cap" dataDxfId="132"/>
    <tableColumn id="26" xr3:uid="{6B8BF5E7-602C-4698-8CBF-9BF7E6161A09}" name="U.S. Small Cap" dataDxfId="131"/>
    <tableColumn id="27" xr3:uid="{065F89B0-E0C5-4027-BA66-5E983B06FCC7}" name="Euro Area Large Cap" dataDxfId="130"/>
    <tableColumn id="28" xr3:uid="{02246D68-5E4D-45F6-AD85-9EC1ACAABB13}" name="Japanese Equity" dataDxfId="129"/>
    <tableColumn id="29" xr3:uid="{23FB43ED-E5F5-4657-81A6-751CDF8B75AD}" name="Hong Kong Equity" dataDxfId="128"/>
    <tableColumn id="30" xr3:uid="{AA217CEC-41B9-4116-B462-1A3DD56001C8}" name="UK Large Cap" dataDxfId="127"/>
    <tableColumn id="31" xr3:uid="{A1995E68-3D98-417C-BD56-65A9B0201B8F}" name="EAFE Equity" dataDxfId="126"/>
    <tableColumn id="32" xr3:uid="{6CCEC135-1C9E-4A23-BC8E-352567920EC3}" name="Chinese Domestic Equity" dataDxfId="125"/>
    <tableColumn id="33" xr3:uid="{0107FCD4-F712-422D-900B-E8A47F544406}" name="Emerging Markets Equity" dataDxfId="124"/>
    <tableColumn id="34" xr3:uid="{29C28E03-6A19-424D-897A-DFE275BB4C86}" name="AC Asia ex-Japan Equity" dataDxfId="123"/>
    <tableColumn id="35" xr3:uid="{9715ED62-C7AA-4851-8AB7-A16F37F1BE20}" name="AC World Equity" dataDxfId="122"/>
    <tableColumn id="36" xr3:uid="{DDAEB5FD-FE2E-49C6-AABE-6729D4375DFC}" name="U.S. Equity Value Factor" dataDxfId="121"/>
    <tableColumn id="37" xr3:uid="{3D976CC3-CA1E-4EC3-9ACD-CBEFECB3A846}" name="U.S. Equity Momentum Factor" dataDxfId="120"/>
    <tableColumn id="38" xr3:uid="{958BBB4A-C069-4C09-8F87-829BA5A5DC9A}" name="U.S. Equity Quality Factor" dataDxfId="119"/>
    <tableColumn id="39" xr3:uid="{07FC801A-9EA9-4752-B724-BCEDD3AF2436}" name="U.S. Equity Minimum Volatility Factor" dataDxfId="118"/>
    <tableColumn id="40" xr3:uid="{4D2B34DE-A394-437D-A1A8-5944C26CD249}" name="U.S. Equity Dividend Yield Factor" dataDxfId="117"/>
    <tableColumn id="41" xr3:uid="{ACFC25A1-8E69-4C1A-AB10-0207899CA0D4}" name="U.S. Equity Diversified Factor" dataDxfId="116"/>
    <tableColumn id="42" xr3:uid="{6C7D6977-9AF2-48B1-B21A-29EDB1AA4C4A}" name="U.S. Convertible Bond" dataDxfId="115"/>
    <tableColumn id="43" xr3:uid="{A4C0ED17-5372-462B-A32C-5AED238C71CC}" name="Global Convertible Bond hedged" dataDxfId="114"/>
    <tableColumn id="44" xr3:uid="{E47F9829-1163-4897-BBED-65A563E4550E}" name="Global Credit Sensitive Convertible hedged" dataDxfId="113"/>
    <tableColumn id="45" xr3:uid="{66AD16FF-248F-46C3-A60D-6ACCF7582824}" name="Private Equity" dataDxfId="112"/>
    <tableColumn id="46" xr3:uid="{DCABEDAD-CFDA-49FB-A986-1E495FEA483D}" name="U.S. Core Real Estate" dataDxfId="111"/>
    <tableColumn id="47" xr3:uid="{69337690-B1EB-481E-A0A5-F5C63509A175}" name="U.S. Value-Added Real Estate" dataDxfId="110"/>
    <tableColumn id="48" xr3:uid="{CC22848E-0C76-4E59-BCA7-D3EE6B741DA0}" name="European Core Real Estate" dataDxfId="109"/>
    <tableColumn id="49" xr3:uid="{6ED558CA-495F-490E-8F71-B4F73946C17A}" name="Asia Pacific Core Real Estate" dataDxfId="108"/>
    <tableColumn id="50" xr3:uid="{D1256364-6583-4DC8-BF2E-E4FD4D124DF8}" name="U.S. REITs" dataDxfId="107"/>
    <tableColumn id="51" xr3:uid="{BCDBCC2F-7BAA-4CF7-8A9C-563544E2FECB}" name="Global Core Infrastructure" dataDxfId="106"/>
    <tableColumn id="52" xr3:uid="{EA11076E-1490-4FFA-B85E-201E285924A2}" name="Global Core Transport" dataDxfId="105"/>
    <tableColumn id="53" xr3:uid="{E171A2A9-AF85-4F48-8083-692A880F380D}" name="Diversified Hedge Funds" dataDxfId="104"/>
    <tableColumn id="54" xr3:uid="{56CDFFA4-E194-425C-AB08-C4E0C7F2A591}" name="Event Driven Hedge Funds" dataDxfId="103"/>
    <tableColumn id="55" xr3:uid="{7A56E6ED-D705-4D79-84D3-1B4CD47D1424}" name="Long Bias Hedge Funds" dataDxfId="102"/>
    <tableColumn id="56" xr3:uid="{004962C0-A73B-4035-BCA8-D95E3582D479}" name="Relative Value Hedge Funds" dataDxfId="101"/>
    <tableColumn id="57" xr3:uid="{C564D437-24C0-404B-8F5C-E91B8AAD0DF1}" name="Macro Hedge Funds" dataDxfId="100"/>
    <tableColumn id="58" xr3:uid="{B7FDC25B-6A03-4BE2-A72B-C424D6506A8E}" name="Direct Lending" dataDxfId="99"/>
    <tableColumn id="59" xr3:uid="{1AA5ED25-1323-4A32-80EF-654BC376185E}" name="Commodities" dataDxfId="98"/>
    <tableColumn id="60" xr3:uid="{4F5EF2D5-449F-4A28-BC3B-70CAD83FF5E7}" name="Gold" dataDxfId="97"/>
  </tableColumns>
  <tableStyleInfo name="TableStyleLight17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37E3FA-4BD0-420B-ABBB-EC637460225F}" name="Table31620222426" displayName="Table31620222426" ref="B5:G43" totalsRowShown="0" headerRowDxfId="96" dataDxfId="95">
  <autoFilter ref="B5:G43" xr:uid="{E0190A1E-7FF3-41B1-A823-C787DC098445}"/>
  <tableColumns count="6">
    <tableColumn id="1" xr3:uid="{A5097ECD-EB51-4E10-9128-89A69E401F92}" name="Asset Class" dataDxfId="94"/>
    <tableColumn id="2" xr3:uid="{49EA45A4-7415-446D-B0BD-0ACD4E6BEBA9}" name="Subasset Class" dataDxfId="93"/>
    <tableColumn id="3" xr3:uid="{C620405B-4D37-4E98-A590-B2F5C257E496}" name="Representative Index" dataDxfId="92"/>
    <tableColumn id="4" xr3:uid="{D8174CA7-2A8C-40E3-9C80-2C16C942DCCC}" name="Compound Return (%)" dataDxfId="91" dataCellStyle="Percent"/>
    <tableColumn id="5" xr3:uid="{FE09A23C-FF8B-48AC-9940-B01B713B41C7}" name="Expected Return (%)" dataDxfId="90" dataCellStyle="Percent"/>
    <tableColumn id="6" xr3:uid="{ADA84490-9AB1-40EF-9FF3-7AEBC2F9430E}" name="Annualized Risk (%)" dataDxfId="89" dataCellStyle="Percent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A0607F8-B010-41D4-B5CD-8ED2ED929F85}" name="Table41921232527" displayName="Table41921232527" ref="I5:AU43" headerRowDxfId="88" dataDxfId="87">
  <autoFilter ref="I5:AU43" xr:uid="{2AC6FBBD-A038-4612-AA39-A8AAB02AF8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</autoFilter>
  <tableColumns count="39">
    <tableColumn id="1" xr3:uid="{861891A5-5DDC-4AC9-9FD7-941CFC1D0226}" name="Correlation Matrix" totalsRowLabel="Total" dataDxfId="86"/>
    <tableColumn id="2" xr3:uid="{948A8B78-8587-4BE3-9418-FA54B939EEA4}" name="US Cash" dataDxfId="85"/>
    <tableColumn id="3" xr3:uid="{EF636E13-66BF-416A-BF9C-B0BB09EB8CF5}" name="US Inflation Linked" dataDxfId="84"/>
    <tableColumn id="4" xr3:uid="{02522CF2-1E9A-48CA-8CD8-623C9A80DED6}" name="US Investment Grade" dataDxfId="83"/>
    <tableColumn id="5" xr3:uid="{5472C665-42F4-4264-90BB-8E5062FAAC08}" name="US High Yield" dataDxfId="82"/>
    <tableColumn id="6" xr3:uid="{4115A7AD-3C17-4F10-B356-511DA908DD30}" name="US Municipal" dataDxfId="81"/>
    <tableColumn id="7" xr3:uid="{7B8900EA-D6EB-45C1-A200-48580EC884D8}" name="EU Cash" dataDxfId="80"/>
    <tableColumn id="8" xr3:uid="{0D6251B0-EA5A-444A-AF4C-4B6ED04EA4B6}" name="EU Inflation Linked" dataDxfId="79"/>
    <tableColumn id="9" xr3:uid="{4F8AC689-659E-425A-B773-C05E8C547AAE}" name="EU Investment Grade" dataDxfId="78"/>
    <tableColumn id="10" xr3:uid="{3EA5CB41-3E9B-4149-90FE-42C1849E49D1}" name="JP Cash" dataDxfId="77"/>
    <tableColumn id="11" xr3:uid="{5A4C26C9-2A52-4937-9DC2-A55D193D5A80}" name="JP Inflation Linked" dataDxfId="76"/>
    <tableColumn id="12" xr3:uid="{CB87D660-94EA-463B-83FF-951C2252ED7B}" name="JP Investment Grade" dataDxfId="75"/>
    <tableColumn id="13" xr3:uid="{E2C0ACD3-71FC-4EC4-BE22-A3B7766C40F9}" name="UK Cash" dataDxfId="74"/>
    <tableColumn id="14" xr3:uid="{339D8248-8E84-40BF-8E78-52193B542463}" name="UK Inflation Linked" dataDxfId="73"/>
    <tableColumn id="15" xr3:uid="{905D97A0-20C6-40F5-B9E0-EA0FFC7699A5}" name="UK Investment Grade" dataDxfId="72"/>
    <tableColumn id="16" xr3:uid="{63B58077-DE3F-439F-B7C7-C041BD51C0E5}" name="CA Cash" dataDxfId="71"/>
    <tableColumn id="17" xr3:uid="{63D6F1B0-1D5F-477E-B160-6B57934977F8}" name="CA Inflation Linked" dataDxfId="70"/>
    <tableColumn id="18" xr3:uid="{77507355-704A-4162-BDFB-43A9D399AB50}" name="CA Investment Grade" dataDxfId="69"/>
    <tableColumn id="19" xr3:uid="{CFAA55C4-B03C-4DDE-822D-1D99E2831A27}" name="CA High Yield" dataDxfId="68"/>
    <tableColumn id="20" xr3:uid="{111A6BD7-4379-4624-8352-9D6A0C570227}" name="AU Cash" dataDxfId="67"/>
    <tableColumn id="21" xr3:uid="{92586BEF-F244-4A8E-9E57-5ABDD1BB0087}" name="AU Investment Grade" totalsRowFunction="count" dataDxfId="66"/>
    <tableColumn id="22" xr3:uid="{6A42EE7A-1226-4C39-8BA4-72A09664E3AD}" name="Global Inflation Linked" dataDxfId="65"/>
    <tableColumn id="23" xr3:uid="{9612538C-1E9C-4C87-B534-F3E4C6911E14}" name="Global Investment Grade" dataDxfId="64"/>
    <tableColumn id="24" xr3:uid="{4E68F364-3126-44B1-93CF-C6CA098FA2CA}" name="Global High Yield" dataDxfId="63"/>
    <tableColumn id="25" xr3:uid="{4DFCA2B0-383A-4814-8735-DB4254A2DAA8}" name="United States" dataDxfId="62"/>
    <tableColumn id="26" xr3:uid="{8E580A7A-6C20-432C-95FE-5BEFD56BE373}" name="Europe" dataDxfId="61"/>
    <tableColumn id="27" xr3:uid="{9D04F554-9693-4F8F-85D8-E5C320CDEF58}" name="Japan" dataDxfId="60"/>
    <tableColumn id="28" xr3:uid="{A9494BAA-1FD4-4238-9A35-DFE5198E01DF}" name="United Kingdom" dataDxfId="59"/>
    <tableColumn id="29" xr3:uid="{86E624E6-87EA-437B-A698-DCCC50414C63}" name="Canada" dataDxfId="58"/>
    <tableColumn id="30" xr3:uid="{28DF575D-F2DC-41B0-8E96-8616540379D9}" name="Australia" dataDxfId="57"/>
    <tableColumn id="31" xr3:uid="{B07023C2-7D56-4DC8-B229-1AE8FBBDF264}" name="Developed Markets" dataDxfId="56"/>
    <tableColumn id="32" xr3:uid="{BBAD0958-5688-48AA-820B-8D62E5608AAC}" name="Emerging Markets" dataDxfId="55"/>
    <tableColumn id="33" xr3:uid="{813165D0-8092-455D-88E9-BB5CA2190F6A}" name="Global Equities" dataDxfId="54"/>
    <tableColumn id="34" xr3:uid="{B2FA6D67-36DC-489D-A43B-501605E2462E}" name="Natural Resources" dataDxfId="53"/>
    <tableColumn id="35" xr3:uid="{4E5ABE1B-2DAE-45E5-9E15-089F4A364CBE}" name="Listed Real Estate" dataDxfId="52"/>
    <tableColumn id="36" xr3:uid="{CE003F30-3A03-453C-873C-4FA274EFD530}" name="Listed Infrastructure" dataDxfId="51"/>
    <tableColumn id="37" xr3:uid="{68785A41-A717-42CB-B048-F43740424851}" name="Private Equity" dataDxfId="50"/>
    <tableColumn id="38" xr3:uid="{E6C8631F-6259-4AD6-8C5F-10053837A949}" name="Private Credit" dataDxfId="49"/>
    <tableColumn id="61" xr3:uid="{DCEFB101-7DFF-4A0B-9CF6-001D26B3734F}" name="Hedge Funds" dataDxfId="48"/>
  </tableColumns>
  <tableStyleInfo name="TableStyleLight17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CC391E6-648F-4F1A-921D-287E2CD79037}" name="Table316202224" displayName="Table316202224" ref="B5:G42" totalsRowShown="0" headerRowDxfId="47" dataDxfId="46">
  <autoFilter ref="B5:G42" xr:uid="{E0190A1E-7FF3-41B1-A823-C787DC098445}"/>
  <tableColumns count="6">
    <tableColumn id="1" xr3:uid="{C797FC0C-2CC6-44ED-B524-5B00F174F6F8}" name="Asset Class" dataDxfId="45"/>
    <tableColumn id="2" xr3:uid="{F9312B48-E249-4C59-9EAB-D0595449B549}" name="Subasset Class" dataDxfId="44"/>
    <tableColumn id="3" xr3:uid="{B78E1411-F9EF-4BF4-B01F-706876A37049}" name="Representative Index" dataDxfId="43"/>
    <tableColumn id="4" xr3:uid="{892E1240-BBE4-4F52-A1FA-DDF168FF98B9}" name="Compound Return (%)" dataDxfId="42" dataCellStyle="Percent"/>
    <tableColumn id="5" xr3:uid="{5A752772-E69F-44A8-8C8E-F395D6623145}" name="Expected Return (%)" dataDxfId="41" dataCellStyle="Percent"/>
    <tableColumn id="6" xr3:uid="{7BCC6DC1-43F0-44DC-A845-9C4B11C9A96B}" name="Annualized Risk (%)" dataDxfId="40" dataCellStyle="Percent"/>
  </tableColumns>
  <tableStyleInfo name="TableStyleLight1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69A2DB8-5467-453E-88BD-CCF80FC6DDB0}" name="Table419212325" displayName="Table419212325" ref="I5:AT42" headerRowDxfId="39" dataDxfId="38">
  <autoFilter ref="I5:AT42" xr:uid="{2AC6FBBD-A038-4612-AA39-A8AAB02AF8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</autoFilter>
  <tableColumns count="38">
    <tableColumn id="1" xr3:uid="{3D9331B5-2BF6-4168-8CC3-1B3A44E14799}" name="Correlation Matrix" totalsRowLabel="Total" dataDxfId="37"/>
    <tableColumn id="2" xr3:uid="{8E9398A9-7006-49EF-A5D7-3F26A4E5BB48}" name="Global Equity" dataDxfId="36"/>
    <tableColumn id="3" xr3:uid="{DE03F2D1-45E1-4BBA-BA09-3FCEC4FD79EF}" name="Global ex-U.S. Equity" dataDxfId="35"/>
    <tableColumn id="4" xr3:uid="{50F8977A-46D8-4071-B63E-13945BD7EEF8}" name="DM Equity" dataDxfId="34"/>
    <tableColumn id="5" xr3:uid="{2D49F4B3-38CF-476C-9533-57B8EE4CCFFE}" name="DM ex-U.S. Equity" dataDxfId="33"/>
    <tableColumn id="6" xr3:uid="{A34424C0-2B21-4117-B07D-D4465438F19F}" name="U.S. Large-Cap Equity" dataDxfId="32"/>
    <tableColumn id="7" xr3:uid="{212136FC-ED73-4D8A-96AA-467EBA586811}" name="U.S. Small-Cap Equity" dataDxfId="31"/>
    <tableColumn id="8" xr3:uid="{999AAD44-4D5F-4AFA-ADCA-8419FBD6CDAC}" name="Europe Equity" dataDxfId="30"/>
    <tableColumn id="9" xr3:uid="{771B51C4-69B8-42A6-A6E0-FA11C3059527}" name="Asia ex-Japan Equity" dataDxfId="29"/>
    <tableColumn id="10" xr3:uid="{2CEB515B-0A6C-4C50-A834-D35EDEA26CAE}" name="Japan Equity" dataDxfId="28"/>
    <tableColumn id="11" xr3:uid="{399F8B16-5C68-4CFD-9672-72C8FF2B6640}" name="EM Equity" dataDxfId="27"/>
    <tableColumn id="12" xr3:uid="{E2954F75-9C40-47F3-A7F5-AEA033A82193}" name="Real Asset Equity" dataDxfId="26"/>
    <tableColumn id="13" xr3:uid="{D3653EC5-10A9-4134-8A50-B51474D82EEE}" name="Global Aggregate" dataDxfId="25"/>
    <tableColumn id="14" xr3:uid="{4C9F0D79-B2E6-4E95-BB1B-C43470DABAA6}" name="Global Aggregate (Hdg)" dataDxfId="24"/>
    <tableColumn id="15" xr3:uid="{610BE8B0-C4B0-4232-9B3D-46B9E62AF63F}" name="Global Agg. ex-U.S." dataDxfId="23"/>
    <tableColumn id="16" xr3:uid="{8DE33ACC-34E6-4AD0-94E3-5C57CE45E6B0}" name="Global Agg. ex-U.S. (Hdg)" dataDxfId="22"/>
    <tableColumn id="17" xr3:uid="{06895412-0D6E-49A4-9A15-0EEBFB9AAAF9}" name="Global IG Corporate (Hdg)" dataDxfId="21"/>
    <tableColumn id="18" xr3:uid="{DA5425EF-9691-4D73-8F10-782146393E74}" name="Global High Yield" dataDxfId="20"/>
    <tableColumn id="19" xr3:uid="{07637F93-53B9-4F82-9249-E8A2DEC94CE6}" name="U.S. Cash" dataDxfId="19"/>
    <tableColumn id="20" xr3:uid="{1C9EEF1A-F3ED-47FD-820E-5748C319681C}" name="U.S. Treasury" dataDxfId="18"/>
    <tableColumn id="21" xr3:uid="{001EAF02-DF22-47E7-A19C-05F22EAFB5A2}" name="U.S. TIPS" totalsRowFunction="count" dataDxfId="17"/>
    <tableColumn id="22" xr3:uid="{03A05476-DA43-4D34-AD7F-A7A4DDFF3A0B}" name="U.S. Short TIPS" dataDxfId="16"/>
    <tableColumn id="23" xr3:uid="{5B372EAE-F6E4-45ED-9873-E1DCEF3D3796}" name="U.S. IG Corporate" dataDxfId="15"/>
    <tableColumn id="24" xr3:uid="{3ED0E555-1D6D-4C1B-9D97-2FF1092A4C9F}" name="U.S. Long Credit" dataDxfId="14"/>
    <tableColumn id="25" xr3:uid="{E9910388-CAC1-45D9-8353-22F7006150D2}" name="U.S. Long Treasury" dataDxfId="13"/>
    <tableColumn id="26" xr3:uid="{91A9EDB6-04CE-48B2-8AD1-DC2E526AAB11}" name="U.S. Aggregate" dataDxfId="12"/>
    <tableColumn id="27" xr3:uid="{28A9888C-33E5-4F31-8394-CB8642CDBFBD}" name="U.S. High Yield" dataDxfId="11"/>
    <tableColumn id="28" xr3:uid="{73FF87BC-9E50-466A-AD6A-DC020F034F03}" name="U.S. Bank Loans" dataDxfId="10"/>
    <tableColumn id="29" xr3:uid="{77C5508B-FBCC-4E1C-AC23-3DB848F1C197}" name="U.S. Securitized" dataDxfId="9"/>
    <tableColumn id="30" xr3:uid="{9EFB3D2B-C839-4BB1-B12A-F6BAF178E9C8}" name="EM Sovereign Local" dataDxfId="8"/>
    <tableColumn id="31" xr3:uid="{72FB0530-153D-4A45-9783-387DF5D18A21}" name="EM Sovereign" dataDxfId="7"/>
    <tableColumn id="32" xr3:uid="{B22F4FCA-B592-4270-9CCA-4DF70EE3A932}" name="EM Corporate" dataDxfId="6"/>
    <tableColumn id="33" xr3:uid="{27C059D7-328C-47C1-A6FE-9F7C2B146BCE}" name="Commodities" dataDxfId="5"/>
    <tableColumn id="34" xr3:uid="{217CC66F-3745-460F-8BE2-2EDB5105B551}" name="Gold" dataDxfId="4"/>
    <tableColumn id="35" xr3:uid="{CCBFCD5E-39C9-4EAF-A69F-184B73AB059E}" name="REITs" dataDxfId="3"/>
    <tableColumn id="36" xr3:uid="{45209031-E7D0-4005-8CD5-F2F3B178267B}" name="Hedge Funds" dataDxfId="2"/>
    <tableColumn id="37" xr3:uid="{D247540F-EBA2-4660-8B4B-D044254345C1}" name="Global Private Real Estate" dataDxfId="1"/>
    <tableColumn id="38" xr3:uid="{1F6D1B7A-6050-49CE-B711-793D057CDD26}" name="Private Equity" dataDxfId="0"/>
  </tableColumns>
  <tableStyleInfo name="TableStyleLight17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ICapital Old Colors">
      <a:dk1>
        <a:srgbClr val="2E4250"/>
      </a:dk1>
      <a:lt1>
        <a:srgbClr val="FFFFFF"/>
      </a:lt1>
      <a:dk2>
        <a:srgbClr val="000000"/>
      </a:dk2>
      <a:lt2>
        <a:srgbClr val="27A4AA"/>
      </a:lt2>
      <a:accent1>
        <a:srgbClr val="0077AA"/>
      </a:accent1>
      <a:accent2>
        <a:srgbClr val="A2BACA"/>
      </a:accent2>
      <a:accent3>
        <a:srgbClr val="1B5A80"/>
      </a:accent3>
      <a:accent4>
        <a:srgbClr val="008396"/>
      </a:accent4>
      <a:accent5>
        <a:srgbClr val="2CA8E2"/>
      </a:accent5>
      <a:accent6>
        <a:srgbClr val="691B57"/>
      </a:accent6>
      <a:hlink>
        <a:srgbClr val="27A4AA"/>
      </a:hlink>
      <a:folHlink>
        <a:srgbClr val="1B5A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CF026-4D8C-4A67-A72C-9452DCCB4340}">
  <sheetPr codeName="Sheet12">
    <pageSetUpPr fitToPage="1"/>
  </sheetPr>
  <dimension ref="A1:W194"/>
  <sheetViews>
    <sheetView showGridLines="0" showRowColHeaders="0" zoomScale="84" zoomScaleNormal="84" workbookViewId="0">
      <pane ySplit="2" topLeftCell="A104" activePane="bottomLeft" state="frozen"/>
      <selection pane="bottomLeft" activeCell="R154" sqref="R154:R191"/>
    </sheetView>
  </sheetViews>
  <sheetFormatPr baseColWidth="10" defaultColWidth="0" defaultRowHeight="15" zeroHeight="1" outlineLevelRow="1"/>
  <cols>
    <col min="1" max="1" width="2.5" customWidth="1"/>
    <col min="2" max="2" width="26.1640625" customWidth="1"/>
    <col min="3" max="3" width="2" customWidth="1"/>
    <col min="4" max="6" width="18.33203125" customWidth="1"/>
    <col min="7" max="7" width="2" customWidth="1"/>
    <col min="8" max="10" width="18.33203125" customWidth="1"/>
    <col min="11" max="11" width="2" customWidth="1"/>
    <col min="12" max="14" width="18.33203125" customWidth="1"/>
    <col min="15" max="15" width="2" customWidth="1"/>
    <col min="16" max="18" width="18.33203125" customWidth="1"/>
    <col min="19" max="19" width="2" customWidth="1"/>
    <col min="20" max="22" width="18.33203125" customWidth="1"/>
    <col min="23" max="23" width="2" customWidth="1"/>
    <col min="24" max="16384" width="9.1640625" hidden="1"/>
  </cols>
  <sheetData>
    <row r="1" spans="2:22" ht="16" thickBot="1">
      <c r="H1" s="45" t="b">
        <v>1</v>
      </c>
      <c r="I1" s="45" t="b">
        <v>1</v>
      </c>
      <c r="J1" s="45" t="b">
        <v>1</v>
      </c>
    </row>
    <row r="2" spans="2:22" ht="53.25" customHeight="1" thickBot="1">
      <c r="D2" s="523" t="s">
        <v>0</v>
      </c>
      <c r="E2" s="524"/>
      <c r="F2" s="525"/>
      <c r="G2" s="156"/>
      <c r="H2" s="526" t="s">
        <v>1</v>
      </c>
      <c r="I2" s="527"/>
      <c r="J2" s="528"/>
      <c r="K2" s="156"/>
      <c r="L2" s="520" t="str">
        <f>SelectedAssetClass.Data!D6</f>
        <v>Cliffwater</v>
      </c>
      <c r="M2" s="521"/>
      <c r="N2" s="522"/>
      <c r="O2" s="156"/>
      <c r="P2" s="520" t="str">
        <f>SelectedAssetClass.Data!E6</f>
        <v>Envestnet</v>
      </c>
      <c r="Q2" s="521"/>
      <c r="R2" s="522"/>
      <c r="S2" s="156"/>
      <c r="T2" s="520" t="str">
        <f>SelectedAssetClass.Data!F6</f>
        <v>JPMorgan</v>
      </c>
      <c r="U2" s="521"/>
      <c r="V2" s="522"/>
    </row>
    <row r="3" spans="2:22" ht="10.5" customHeight="1" thickBot="1">
      <c r="B3" s="44"/>
      <c r="D3" s="157"/>
      <c r="E3" s="157"/>
      <c r="F3" s="157"/>
      <c r="G3" s="79"/>
      <c r="H3" s="157"/>
      <c r="I3" s="157"/>
      <c r="J3" s="157"/>
      <c r="L3" s="157"/>
      <c r="M3" s="157"/>
      <c r="N3" s="157"/>
      <c r="O3" s="79"/>
      <c r="P3" s="157"/>
      <c r="Q3" s="157"/>
      <c r="R3" s="157"/>
      <c r="T3" s="157"/>
      <c r="U3" s="157"/>
      <c r="V3" s="157"/>
    </row>
    <row r="4" spans="2:22" ht="42" hidden="1" customHeight="1" outlineLevel="1">
      <c r="B4" s="159" t="s">
        <v>2</v>
      </c>
      <c r="D4" s="171" t="s">
        <v>3</v>
      </c>
      <c r="E4" s="171" t="s">
        <v>4</v>
      </c>
      <c r="F4" s="171" t="s">
        <v>5</v>
      </c>
      <c r="G4" s="6"/>
      <c r="H4" s="171" t="s">
        <v>3</v>
      </c>
      <c r="I4" s="171" t="s">
        <v>4</v>
      </c>
      <c r="J4" s="171" t="s">
        <v>5</v>
      </c>
      <c r="K4" s="6"/>
      <c r="L4" s="171" t="s">
        <v>3</v>
      </c>
      <c r="M4" s="171" t="s">
        <v>4</v>
      </c>
      <c r="N4" s="171" t="s">
        <v>5</v>
      </c>
      <c r="O4" s="6"/>
      <c r="P4" s="171" t="s">
        <v>3</v>
      </c>
      <c r="Q4" s="171" t="s">
        <v>4</v>
      </c>
      <c r="R4" s="171" t="s">
        <v>5</v>
      </c>
      <c r="S4" s="6"/>
      <c r="T4" s="171" t="s">
        <v>3</v>
      </c>
      <c r="U4" s="171" t="s">
        <v>4</v>
      </c>
      <c r="V4" s="171" t="s">
        <v>5</v>
      </c>
    </row>
    <row r="5" spans="2:22" ht="18" hidden="1" customHeight="1" outlineLevel="1">
      <c r="B5" s="160" t="str" cm="1">
        <f t="array" ref="B5:B15">_xlfn.UNIQUE(_xlfn.ANCHORARRAY('CMA Summary'!B51))</f>
        <v xml:space="preserve">U.S. Large Cap </v>
      </c>
      <c r="D5" s="166">
        <f t="shared" ref="D5:D14" si="0">SUM(L5,P5,T5)/3</f>
        <v>0.35999999999999988</v>
      </c>
      <c r="E5" s="166">
        <f t="shared" ref="E5:E15" si="1">SUM(M5,Q5,U5)/3</f>
        <v>0.30000000000000004</v>
      </c>
      <c r="F5" s="166">
        <f t="shared" ref="F5:F15" si="2">SUM(N5,R5,V5)/3</f>
        <v>0.18418190078606078</v>
      </c>
      <c r="G5" s="167"/>
      <c r="H5" s="166">
        <f>(SUMIF($H$1,TRUE,L5)+SUMIF($I$1,TRUE,P5)+SUMIF($J$1,TRUE,T5))/COUNTIF($H$1:$J$1,TRUE)</f>
        <v>0.35999999999999988</v>
      </c>
      <c r="I5" s="166">
        <f t="shared" ref="I5:I15" si="3">(SUMIF($H$1,TRUE,M5)+SUMIF($I$1,TRUE,Q5)+SUMIF($J$1,TRUE,U5))/COUNTIF($H$1:$J$1,TRUE)</f>
        <v>0.30000000000000004</v>
      </c>
      <c r="J5" s="166">
        <f t="shared" ref="J5:J15" si="4">(SUMIF($H$1,TRUE,N5)+SUMIF($I$1,TRUE,R5)+SUMIF($J$1,TRUE,V5))/COUNTIF($H$1:$J$1,TRUE)</f>
        <v>0.18418190078606078</v>
      </c>
      <c r="K5" s="167"/>
      <c r="L5" s="190">
        <v>0.35999999999999988</v>
      </c>
      <c r="M5" s="190">
        <v>0.30000000000000004</v>
      </c>
      <c r="N5" s="190">
        <v>0.19254570235818233</v>
      </c>
      <c r="O5" s="167"/>
      <c r="P5" s="190">
        <v>0.35999999999999993</v>
      </c>
      <c r="Q5" s="190">
        <v>0.3</v>
      </c>
      <c r="R5" s="190">
        <v>0.18</v>
      </c>
      <c r="S5" s="167"/>
      <c r="T5" s="190">
        <v>0.35999999999999988</v>
      </c>
      <c r="U5" s="190">
        <v>0.3</v>
      </c>
      <c r="V5" s="190">
        <v>0.18</v>
      </c>
    </row>
    <row r="6" spans="2:22" ht="18" hidden="1" customHeight="1" outlineLevel="1">
      <c r="B6" s="160" t="str">
        <v xml:space="preserve">Non-U.S. Developed </v>
      </c>
      <c r="D6" s="166">
        <f t="shared" si="0"/>
        <v>0.18000000000000002</v>
      </c>
      <c r="E6" s="166">
        <f t="shared" si="1"/>
        <v>0.14000000000000001</v>
      </c>
      <c r="F6" s="166">
        <f t="shared" si="2"/>
        <v>0.11581809921393921</v>
      </c>
      <c r="G6" s="167"/>
      <c r="H6" s="166">
        <f t="shared" ref="H6:H15" si="5">(SUMIF($H$1,TRUE,L6)+SUMIF($I$1,TRUE,P6)+SUMIF($J$1,TRUE,T6))/COUNTIF($H$1:$J$1,TRUE)</f>
        <v>0.18000000000000002</v>
      </c>
      <c r="I6" s="166">
        <f t="shared" si="3"/>
        <v>0.14000000000000001</v>
      </c>
      <c r="J6" s="166">
        <f t="shared" si="4"/>
        <v>0.11581809921393921</v>
      </c>
      <c r="K6" s="167"/>
      <c r="L6" s="178">
        <v>0.18</v>
      </c>
      <c r="M6" s="178">
        <v>0.14000000000000001</v>
      </c>
      <c r="N6" s="178">
        <v>0.10745429764181762</v>
      </c>
      <c r="O6" s="167"/>
      <c r="P6" s="178">
        <v>0.18</v>
      </c>
      <c r="Q6" s="178">
        <v>0.14000000000000001</v>
      </c>
      <c r="R6" s="178">
        <v>0.12</v>
      </c>
      <c r="S6" s="167"/>
      <c r="T6" s="178">
        <v>0.18</v>
      </c>
      <c r="U6" s="178">
        <v>0.14000000000000001</v>
      </c>
      <c r="V6" s="178">
        <v>0.12</v>
      </c>
    </row>
    <row r="7" spans="2:22" ht="18" hidden="1" customHeight="1" outlineLevel="1">
      <c r="B7" s="160" t="str">
        <v xml:space="preserve">Emerging Markets </v>
      </c>
      <c r="D7" s="166">
        <f t="shared" si="0"/>
        <v>0.06</v>
      </c>
      <c r="E7" s="166">
        <f t="shared" si="1"/>
        <v>0.06</v>
      </c>
      <c r="F7" s="166">
        <f t="shared" si="2"/>
        <v>0</v>
      </c>
      <c r="G7" s="167"/>
      <c r="H7" s="166">
        <f t="shared" si="5"/>
        <v>0.06</v>
      </c>
      <c r="I7" s="166">
        <f t="shared" si="3"/>
        <v>0.06</v>
      </c>
      <c r="J7" s="166">
        <f t="shared" si="4"/>
        <v>0</v>
      </c>
      <c r="K7" s="167"/>
      <c r="L7" s="178">
        <v>0.06</v>
      </c>
      <c r="M7" s="178">
        <v>0.06</v>
      </c>
      <c r="N7" s="178">
        <v>0</v>
      </c>
      <c r="O7" s="167"/>
      <c r="P7" s="178">
        <v>0.06</v>
      </c>
      <c r="Q7" s="178">
        <v>0.06</v>
      </c>
      <c r="R7" s="178">
        <v>0</v>
      </c>
      <c r="S7" s="167"/>
      <c r="T7" s="178">
        <v>0.06</v>
      </c>
      <c r="U7" s="178">
        <v>0.06</v>
      </c>
      <c r="V7" s="178">
        <v>0</v>
      </c>
    </row>
    <row r="8" spans="2:22" ht="18" hidden="1" customHeight="1" outlineLevel="1">
      <c r="B8" s="160" t="str">
        <v>U.S. Aggregate Bonds</v>
      </c>
      <c r="D8" s="166">
        <f t="shared" si="0"/>
        <v>5.6666666666666587E-2</v>
      </c>
      <c r="E8" s="166">
        <f t="shared" si="1"/>
        <v>0.15930222233589092</v>
      </c>
      <c r="F8" s="166">
        <f t="shared" si="2"/>
        <v>0.41910613380137668</v>
      </c>
      <c r="G8" s="167"/>
      <c r="H8" s="166">
        <f t="shared" si="5"/>
        <v>5.6666666666666587E-2</v>
      </c>
      <c r="I8" s="166">
        <f t="shared" si="3"/>
        <v>0.15930222233589092</v>
      </c>
      <c r="J8" s="166">
        <f t="shared" si="4"/>
        <v>0.41910613380137668</v>
      </c>
      <c r="K8" s="167"/>
      <c r="L8" s="178">
        <v>6.9999999999999812E-2</v>
      </c>
      <c r="M8" s="178">
        <v>0.17000099999999974</v>
      </c>
      <c r="N8" s="178">
        <v>0.40000099999999977</v>
      </c>
      <c r="O8" s="167"/>
      <c r="P8" s="178">
        <v>9.9999999999999936E-2</v>
      </c>
      <c r="Q8" s="178">
        <v>0.19999999999999971</v>
      </c>
      <c r="R8" s="178">
        <v>0.39999999999999969</v>
      </c>
      <c r="S8" s="167"/>
      <c r="T8" s="178">
        <v>0</v>
      </c>
      <c r="U8" s="178">
        <v>0.10790566700767328</v>
      </c>
      <c r="V8" s="178">
        <v>0.45731740140413046</v>
      </c>
    </row>
    <row r="9" spans="2:22" ht="18" hidden="1" customHeight="1" outlineLevel="1">
      <c r="B9" s="160" t="str">
        <v>U.S. High Yield</v>
      </c>
      <c r="D9" s="166">
        <f t="shared" si="0"/>
        <v>0.10333333333333324</v>
      </c>
      <c r="E9" s="166">
        <f t="shared" si="1"/>
        <v>0.10069811099744219</v>
      </c>
      <c r="F9" s="166">
        <f t="shared" si="2"/>
        <v>6.0894532865289779E-2</v>
      </c>
      <c r="G9" s="167"/>
      <c r="H9" s="166">
        <f t="shared" si="5"/>
        <v>0.10333333333333324</v>
      </c>
      <c r="I9" s="166">
        <f t="shared" si="3"/>
        <v>0.10069811099744219</v>
      </c>
      <c r="J9" s="166">
        <f t="shared" si="4"/>
        <v>6.0894532865289779E-2</v>
      </c>
      <c r="K9" s="167"/>
      <c r="L9" s="178">
        <v>0</v>
      </c>
      <c r="M9" s="178">
        <v>0</v>
      </c>
      <c r="N9" s="178">
        <v>0</v>
      </c>
      <c r="O9" s="167"/>
      <c r="P9" s="178">
        <v>0</v>
      </c>
      <c r="Q9" s="178">
        <v>0</v>
      </c>
      <c r="R9" s="178">
        <v>0</v>
      </c>
      <c r="S9" s="167"/>
      <c r="T9" s="178">
        <v>0.30999999999999972</v>
      </c>
      <c r="U9" s="178">
        <v>0.30209433299232658</v>
      </c>
      <c r="V9" s="178">
        <v>0.18268359859586933</v>
      </c>
    </row>
    <row r="10" spans="2:22" ht="18" hidden="1" customHeight="1" outlineLevel="1">
      <c r="B10" s="160" t="str">
        <v>Emerging Mkt Bonds</v>
      </c>
      <c r="D10" s="166">
        <f t="shared" si="0"/>
        <v>0.02</v>
      </c>
      <c r="E10" s="166">
        <f t="shared" si="1"/>
        <v>0.02</v>
      </c>
      <c r="F10" s="166">
        <f t="shared" si="2"/>
        <v>0</v>
      </c>
      <c r="G10" s="167"/>
      <c r="H10" s="166">
        <f t="shared" si="5"/>
        <v>0.02</v>
      </c>
      <c r="I10" s="166">
        <f t="shared" si="3"/>
        <v>0.02</v>
      </c>
      <c r="J10" s="166">
        <f t="shared" si="4"/>
        <v>0</v>
      </c>
      <c r="K10" s="167"/>
      <c r="L10" s="178">
        <v>3.0000000000000002E-2</v>
      </c>
      <c r="M10" s="178">
        <v>3.0000000000000002E-2</v>
      </c>
      <c r="N10" s="178">
        <v>0</v>
      </c>
      <c r="O10" s="167"/>
      <c r="P10" s="178">
        <v>0</v>
      </c>
      <c r="Q10" s="178">
        <v>0</v>
      </c>
      <c r="R10" s="178">
        <v>0</v>
      </c>
      <c r="S10" s="167"/>
      <c r="T10" s="178">
        <v>3.0000000000000002E-2</v>
      </c>
      <c r="U10" s="178">
        <v>0.03</v>
      </c>
      <c r="V10" s="178">
        <v>0</v>
      </c>
    </row>
    <row r="11" spans="2:22" ht="18" hidden="1" customHeight="1" outlineLevel="1">
      <c r="B11" s="160" t="str">
        <v>Private Equity</v>
      </c>
      <c r="D11" s="166">
        <f t="shared" si="0"/>
        <v>0.08</v>
      </c>
      <c r="E11" s="166">
        <f t="shared" si="1"/>
        <v>7.115764847696919E-2</v>
      </c>
      <c r="F11" s="166">
        <f t="shared" si="2"/>
        <v>0.06</v>
      </c>
      <c r="G11" s="167"/>
      <c r="H11" s="166">
        <f t="shared" si="5"/>
        <v>0.08</v>
      </c>
      <c r="I11" s="166">
        <f t="shared" si="3"/>
        <v>7.115764847696919E-2</v>
      </c>
      <c r="J11" s="166">
        <f t="shared" si="4"/>
        <v>0.06</v>
      </c>
      <c r="K11" s="167"/>
      <c r="L11" s="178">
        <v>0</v>
      </c>
      <c r="M11" s="178">
        <v>0</v>
      </c>
      <c r="N11" s="178">
        <v>0</v>
      </c>
      <c r="O11" s="167"/>
      <c r="P11" s="178">
        <v>0.24</v>
      </c>
      <c r="Q11" s="178">
        <v>0.21347294543090758</v>
      </c>
      <c r="R11" s="178">
        <v>0.18</v>
      </c>
      <c r="S11" s="167"/>
      <c r="T11" s="178">
        <v>0</v>
      </c>
      <c r="U11" s="178">
        <v>0</v>
      </c>
      <c r="V11" s="178">
        <v>0</v>
      </c>
    </row>
    <row r="12" spans="2:22" ht="18" hidden="1" customHeight="1" outlineLevel="1">
      <c r="B12" s="160" t="str">
        <v>Private Credit</v>
      </c>
      <c r="D12" s="166">
        <f t="shared" si="0"/>
        <v>0.02</v>
      </c>
      <c r="E12" s="166">
        <f t="shared" si="1"/>
        <v>2.8842351523030805E-2</v>
      </c>
      <c r="F12" s="166">
        <f t="shared" si="2"/>
        <v>0.04</v>
      </c>
      <c r="G12" s="167"/>
      <c r="H12" s="166">
        <f t="shared" si="5"/>
        <v>0.02</v>
      </c>
      <c r="I12" s="166">
        <f t="shared" si="3"/>
        <v>2.8842351523030805E-2</v>
      </c>
      <c r="J12" s="166">
        <f t="shared" si="4"/>
        <v>0.04</v>
      </c>
      <c r="K12" s="167"/>
      <c r="L12" s="178">
        <v>0.06</v>
      </c>
      <c r="M12" s="178">
        <v>0.06</v>
      </c>
      <c r="N12" s="178">
        <v>0.06</v>
      </c>
      <c r="O12" s="167"/>
      <c r="P12" s="178">
        <v>0</v>
      </c>
      <c r="Q12" s="178">
        <v>2.6527054569092417E-2</v>
      </c>
      <c r="R12" s="178">
        <v>0.06</v>
      </c>
      <c r="S12" s="167"/>
      <c r="T12" s="178">
        <v>0</v>
      </c>
      <c r="U12" s="178">
        <v>0</v>
      </c>
      <c r="V12" s="178">
        <v>0</v>
      </c>
    </row>
    <row r="13" spans="2:22" ht="18" hidden="1" customHeight="1" outlineLevel="1">
      <c r="B13" s="160" t="str">
        <v>Private Real Estate</v>
      </c>
      <c r="D13" s="166">
        <f t="shared" si="0"/>
        <v>0.06</v>
      </c>
      <c r="E13" s="166">
        <f t="shared" si="1"/>
        <v>5.3872993615826086E-2</v>
      </c>
      <c r="F13" s="166">
        <f t="shared" si="2"/>
        <v>4.800274696450535E-2</v>
      </c>
      <c r="G13" s="167"/>
      <c r="H13" s="166">
        <f t="shared" si="5"/>
        <v>0.06</v>
      </c>
      <c r="I13" s="166">
        <f t="shared" si="3"/>
        <v>5.3872993615826086E-2</v>
      </c>
      <c r="J13" s="166">
        <f t="shared" si="4"/>
        <v>4.800274696450535E-2</v>
      </c>
      <c r="K13" s="167"/>
      <c r="L13" s="178">
        <v>0.06</v>
      </c>
      <c r="M13" s="178">
        <v>4.1618980847478268E-2</v>
      </c>
      <c r="N13" s="178">
        <v>2.4008240893516056E-2</v>
      </c>
      <c r="O13" s="167"/>
      <c r="P13" s="178">
        <v>5.9999999999999991E-2</v>
      </c>
      <c r="Q13" s="178">
        <v>5.9999999999999991E-2</v>
      </c>
      <c r="R13" s="178">
        <v>0.06</v>
      </c>
      <c r="S13" s="167"/>
      <c r="T13" s="178">
        <v>0.06</v>
      </c>
      <c r="U13" s="178">
        <v>0.06</v>
      </c>
      <c r="V13" s="178">
        <v>0.06</v>
      </c>
    </row>
    <row r="14" spans="2:22" ht="18" hidden="1" customHeight="1" outlineLevel="1">
      <c r="B14" s="160" t="str">
        <v>Infrastructure</v>
      </c>
      <c r="D14" s="166">
        <f t="shared" si="0"/>
        <v>2.090091404852196E-2</v>
      </c>
      <c r="E14" s="166">
        <f t="shared" si="1"/>
        <v>1.4778209983449891E-2</v>
      </c>
      <c r="F14" s="166">
        <f t="shared" si="2"/>
        <v>1.5894905626064923E-2</v>
      </c>
      <c r="G14" s="167"/>
      <c r="H14" s="166">
        <f t="shared" si="5"/>
        <v>2.090091404852196E-2</v>
      </c>
      <c r="I14" s="166">
        <f t="shared" si="3"/>
        <v>1.4778209983449891E-2</v>
      </c>
      <c r="J14" s="166">
        <f t="shared" si="4"/>
        <v>1.5894905626064923E-2</v>
      </c>
      <c r="K14" s="167"/>
      <c r="L14" s="178">
        <v>6.2702742145565885E-2</v>
      </c>
      <c r="M14" s="178">
        <v>4.4334629950349674E-2</v>
      </c>
      <c r="N14" s="178">
        <v>4.7684716878194769E-2</v>
      </c>
      <c r="O14" s="167"/>
      <c r="P14" s="178">
        <v>0</v>
      </c>
      <c r="Q14" s="178">
        <v>0</v>
      </c>
      <c r="R14" s="178">
        <v>0</v>
      </c>
      <c r="S14" s="167"/>
      <c r="T14" s="178">
        <v>0</v>
      </c>
      <c r="U14" s="178">
        <v>0</v>
      </c>
      <c r="V14" s="178">
        <v>0</v>
      </c>
    </row>
    <row r="15" spans="2:22" ht="18" hidden="1" customHeight="1" outlineLevel="1">
      <c r="B15" s="161" t="str">
        <v>Multi-Strategy (HF)</v>
      </c>
      <c r="D15" s="168">
        <f>SUM(L15,P15,T15)/3</f>
        <v>3.9099085951478034E-2</v>
      </c>
      <c r="E15" s="168">
        <f t="shared" si="1"/>
        <v>5.1348796400724019E-2</v>
      </c>
      <c r="F15" s="168">
        <f t="shared" si="2"/>
        <v>5.610234740942973E-2</v>
      </c>
      <c r="G15" s="167"/>
      <c r="H15" s="168">
        <f t="shared" si="5"/>
        <v>3.9099085951478034E-2</v>
      </c>
      <c r="I15" s="168">
        <f t="shared" si="3"/>
        <v>5.1348796400724019E-2</v>
      </c>
      <c r="J15" s="168">
        <f t="shared" si="4"/>
        <v>5.610234740942973E-2</v>
      </c>
      <c r="K15" s="167"/>
      <c r="L15" s="165">
        <v>0.11729725785443409</v>
      </c>
      <c r="M15" s="165">
        <v>0.15404638920217206</v>
      </c>
      <c r="N15" s="165">
        <v>0.16830704222828918</v>
      </c>
      <c r="O15" s="167"/>
      <c r="P15" s="165"/>
      <c r="Q15" s="165"/>
      <c r="R15" s="165"/>
      <c r="S15" s="167"/>
      <c r="T15" s="165">
        <v>0</v>
      </c>
      <c r="U15" s="165">
        <v>0</v>
      </c>
      <c r="V15" s="165">
        <v>0</v>
      </c>
    </row>
    <row r="16" spans="2:22" ht="18" hidden="1" customHeight="1" outlineLevel="1">
      <c r="B16" s="162" t="s">
        <v>6</v>
      </c>
      <c r="D16" s="169">
        <f>SUM(D$5:D$7)</f>
        <v>0.59999999999999987</v>
      </c>
      <c r="E16" s="169">
        <f t="shared" ref="E16:F16" si="6">SUM(E$5:E$7)</f>
        <v>0.5</v>
      </c>
      <c r="F16" s="169">
        <f t="shared" si="6"/>
        <v>0.3</v>
      </c>
      <c r="G16" s="167"/>
      <c r="H16" s="169">
        <f t="shared" ref="H16:J16" si="7">SUM(H$5:H$7)</f>
        <v>0.59999999999999987</v>
      </c>
      <c r="I16" s="169">
        <f t="shared" si="7"/>
        <v>0.5</v>
      </c>
      <c r="J16" s="169">
        <f t="shared" si="7"/>
        <v>0.3</v>
      </c>
      <c r="K16" s="167"/>
      <c r="L16" s="175">
        <v>0.59999999999999987</v>
      </c>
      <c r="M16" s="113">
        <v>0.5</v>
      </c>
      <c r="N16" s="113">
        <v>0.29999999999999993</v>
      </c>
      <c r="O16" s="167"/>
      <c r="P16" s="175">
        <v>0.59999999999999987</v>
      </c>
      <c r="Q16" s="113">
        <v>0.5</v>
      </c>
      <c r="R16" s="113">
        <v>0.3</v>
      </c>
      <c r="S16" s="167"/>
      <c r="T16" s="175">
        <v>0.59999999999999987</v>
      </c>
      <c r="U16" s="113">
        <v>0.5</v>
      </c>
      <c r="V16" s="113">
        <v>0.3</v>
      </c>
    </row>
    <row r="17" spans="2:22" ht="18" hidden="1" customHeight="1" outlineLevel="1">
      <c r="B17" s="162" t="s">
        <v>7</v>
      </c>
      <c r="D17" s="169">
        <f>SUM(D$8:D$10)</f>
        <v>0.1799999999999998</v>
      </c>
      <c r="E17" s="169">
        <f t="shared" ref="E17:F17" si="8">SUM(E$8:E$10)</f>
        <v>0.28000033333333313</v>
      </c>
      <c r="F17" s="169">
        <f t="shared" si="8"/>
        <v>0.48000066666666646</v>
      </c>
      <c r="G17" s="167"/>
      <c r="H17" s="169">
        <f t="shared" ref="H17:J17" si="9">SUM(H$8:H$10)</f>
        <v>0.1799999999999998</v>
      </c>
      <c r="I17" s="169">
        <f t="shared" si="9"/>
        <v>0.28000033333333313</v>
      </c>
      <c r="J17" s="169">
        <f t="shared" si="9"/>
        <v>0.48000066666666646</v>
      </c>
      <c r="K17" s="167"/>
      <c r="L17" s="114">
        <v>9.9999999999999811E-2</v>
      </c>
      <c r="M17" s="114">
        <v>0.20000099999999973</v>
      </c>
      <c r="N17" s="114">
        <v>0.40000099999999977</v>
      </c>
      <c r="O17" s="167"/>
      <c r="P17" s="114">
        <v>9.9999999999999936E-2</v>
      </c>
      <c r="Q17" s="114">
        <v>0.19999999999999971</v>
      </c>
      <c r="R17" s="114">
        <v>0.39999999999999969</v>
      </c>
      <c r="S17" s="167"/>
      <c r="T17" s="114">
        <v>0.33999999999999975</v>
      </c>
      <c r="U17" s="114">
        <v>0.43999999999999984</v>
      </c>
      <c r="V17" s="114">
        <v>0.64000099999999982</v>
      </c>
    </row>
    <row r="18" spans="2:22" ht="18" hidden="1" customHeight="1" outlineLevel="1">
      <c r="B18" s="162" t="s">
        <v>8</v>
      </c>
      <c r="D18" s="169">
        <f>SUM(D$11:D$15)</f>
        <v>0.22</v>
      </c>
      <c r="E18" s="169">
        <f t="shared" ref="E18:F18" si="10">SUM(E$11:E$15)</f>
        <v>0.21999999999999997</v>
      </c>
      <c r="F18" s="169">
        <f t="shared" si="10"/>
        <v>0.22</v>
      </c>
      <c r="G18" s="167"/>
      <c r="H18" s="169">
        <f t="shared" ref="H18:J18" si="11">SUM(H$11:H$15)</f>
        <v>0.22</v>
      </c>
      <c r="I18" s="169">
        <f t="shared" si="11"/>
        <v>0.21999999999999997</v>
      </c>
      <c r="J18" s="169">
        <f t="shared" si="11"/>
        <v>0.22</v>
      </c>
      <c r="K18" s="167"/>
      <c r="L18" s="114">
        <v>0.29999999999999993</v>
      </c>
      <c r="M18" s="114">
        <v>0.3</v>
      </c>
      <c r="N18" s="114">
        <v>0.3</v>
      </c>
      <c r="O18" s="167"/>
      <c r="P18" s="114">
        <v>0.3</v>
      </c>
      <c r="Q18" s="114">
        <v>0.3</v>
      </c>
      <c r="R18" s="114">
        <v>0.3</v>
      </c>
      <c r="S18" s="167"/>
      <c r="T18" s="114">
        <v>0.06</v>
      </c>
      <c r="U18" s="114">
        <v>0.06</v>
      </c>
      <c r="V18" s="114">
        <v>0.06</v>
      </c>
    </row>
    <row r="19" spans="2:22" ht="18" hidden="1" customHeight="1" outlineLevel="1">
      <c r="B19" s="197" t="s">
        <v>9</v>
      </c>
      <c r="D19" s="198">
        <f>SUM(D$5:D$15)</f>
        <v>0.99999999999999978</v>
      </c>
      <c r="E19" s="198">
        <f t="shared" ref="E19:F19" si="12">SUM(E$5:E$15)</f>
        <v>1.0000003333333332</v>
      </c>
      <c r="F19" s="198">
        <f t="shared" si="12"/>
        <v>1.0000006666666663</v>
      </c>
      <c r="G19" s="167"/>
      <c r="H19" s="198">
        <f t="shared" ref="H19:J19" si="13">SUM(H$5:H$15)</f>
        <v>0.99999999999999978</v>
      </c>
      <c r="I19" s="198">
        <f t="shared" si="13"/>
        <v>1.0000003333333332</v>
      </c>
      <c r="J19" s="198">
        <f t="shared" si="13"/>
        <v>1.0000006666666663</v>
      </c>
      <c r="K19" s="167"/>
      <c r="L19" s="195">
        <v>0.99999999999999989</v>
      </c>
      <c r="M19" s="195">
        <v>1.0000009999999997</v>
      </c>
      <c r="N19" s="195">
        <v>1.0000009999999997</v>
      </c>
      <c r="O19" s="167"/>
      <c r="P19" s="195">
        <v>0.99999999999999978</v>
      </c>
      <c r="Q19" s="195">
        <v>0.99999999999999967</v>
      </c>
      <c r="R19" s="195">
        <v>0.99999999999999978</v>
      </c>
      <c r="S19" s="167"/>
      <c r="T19" s="195">
        <v>0.99999999999999956</v>
      </c>
      <c r="U19" s="195">
        <v>0.99999999999999978</v>
      </c>
      <c r="V19" s="195">
        <v>1.0000009999999997</v>
      </c>
    </row>
    <row r="20" spans="2:22" ht="18" hidden="1" customHeight="1" outlineLevel="1">
      <c r="B20" s="163" t="s">
        <v>10</v>
      </c>
      <c r="D20" s="170">
        <f t="shared" ref="D20:D22" si="14">AVERAGE(L20,P20,T20)</f>
        <v>6.4092589048484624E-2</v>
      </c>
      <c r="E20" s="170">
        <f t="shared" ref="E20:E22" si="15">AVERAGE(M20,Q20,U20)</f>
        <v>5.8662666139104702E-2</v>
      </c>
      <c r="F20" s="170">
        <f t="shared" ref="F20:F22" si="16">AVERAGE(N20,R20,V20)</f>
        <v>4.6762960351580708E-2</v>
      </c>
      <c r="G20" s="167"/>
      <c r="H20" s="170">
        <f t="shared" ref="H20:H22" si="17">(SUMIF($H$1,TRUE,L20)+SUMIF($I$1,TRUE,P20)+SUMIF($J$1,TRUE,T20))/COUNTIF($H$1:$J$1,TRUE)</f>
        <v>6.4092589048484624E-2</v>
      </c>
      <c r="I20" s="170">
        <f t="shared" ref="I20:I22" si="18">(SUMIF($H$1,TRUE,M20)+SUMIF($I$1,TRUE,Q20)+SUMIF($J$1,TRUE,U20))/COUNTIF($H$1:$J$1,TRUE)</f>
        <v>5.8662666139104702E-2</v>
      </c>
      <c r="J20" s="170">
        <f t="shared" ref="J20:J22" si="19">(SUMIF($H$1,TRUE,N20)+SUMIF($I$1,TRUE,R20)+SUMIF($J$1,TRUE,V20))/COUNTIF($H$1:$J$1,TRUE)</f>
        <v>4.6762960351580708E-2</v>
      </c>
      <c r="K20" s="167"/>
      <c r="L20" s="117">
        <v>7.0183542007815028E-2</v>
      </c>
      <c r="M20" s="117">
        <v>6.275422604849272E-2</v>
      </c>
      <c r="N20" s="117">
        <v>4.7804057097847803E-2</v>
      </c>
      <c r="O20" s="167"/>
      <c r="P20" s="117">
        <v>6.5579999999999999E-2</v>
      </c>
      <c r="Q20" s="117">
        <v>6.0406474529925751E-2</v>
      </c>
      <c r="R20" s="117">
        <v>5.0147999999999991E-2</v>
      </c>
      <c r="S20" s="167"/>
      <c r="T20" s="117">
        <v>5.6514225137638832E-2</v>
      </c>
      <c r="U20" s="117">
        <v>5.2827297838895657E-2</v>
      </c>
      <c r="V20" s="117">
        <v>4.2336823956894344E-2</v>
      </c>
    </row>
    <row r="21" spans="2:22" ht="18" hidden="1" customHeight="1" outlineLevel="1">
      <c r="B21" s="163" t="s">
        <v>11</v>
      </c>
      <c r="D21" s="172">
        <f t="shared" si="14"/>
        <v>0.10415264357367</v>
      </c>
      <c r="E21" s="172">
        <f t="shared" si="15"/>
        <v>8.8351763943489439E-2</v>
      </c>
      <c r="F21" s="172">
        <f t="shared" si="16"/>
        <v>6.0360381098657712E-2</v>
      </c>
      <c r="G21" s="173"/>
      <c r="H21" s="172">
        <f t="shared" si="17"/>
        <v>0.10415264357367</v>
      </c>
      <c r="I21" s="172">
        <f t="shared" si="18"/>
        <v>8.8351763943489439E-2</v>
      </c>
      <c r="J21" s="172">
        <f t="shared" si="19"/>
        <v>6.0360381098657712E-2</v>
      </c>
      <c r="K21" s="173"/>
      <c r="L21" s="117">
        <v>0.10810857240510417</v>
      </c>
      <c r="M21" s="117">
        <v>8.9697596572763993E-2</v>
      </c>
      <c r="N21" s="117">
        <v>6.4981876299493202E-2</v>
      </c>
      <c r="O21" s="173"/>
      <c r="P21" s="117">
        <v>0.10388409997684919</v>
      </c>
      <c r="Q21" s="117">
        <v>8.9290161435909995E-2</v>
      </c>
      <c r="R21" s="117">
        <v>6.1145732610542819E-2</v>
      </c>
      <c r="S21" s="173"/>
      <c r="T21" s="117">
        <v>0.10046525833905667</v>
      </c>
      <c r="U21" s="117">
        <v>8.6067533821794329E-2</v>
      </c>
      <c r="V21" s="117">
        <v>5.4953534385937107E-2</v>
      </c>
    </row>
    <row r="22" spans="2:22" ht="18" hidden="1" customHeight="1" outlineLevel="1">
      <c r="B22" s="163" t="s">
        <v>12</v>
      </c>
      <c r="D22" s="174">
        <f t="shared" si="14"/>
        <v>0.61433348959639378</v>
      </c>
      <c r="E22" s="174">
        <f t="shared" si="15"/>
        <v>0.66330921911228125</v>
      </c>
      <c r="F22" s="174">
        <f t="shared" si="16"/>
        <v>0.77540081767932589</v>
      </c>
      <c r="G22" s="88"/>
      <c r="H22" s="174">
        <f t="shared" si="17"/>
        <v>0.61433348959639378</v>
      </c>
      <c r="I22" s="174">
        <f t="shared" si="18"/>
        <v>0.66330921911228125</v>
      </c>
      <c r="J22" s="174">
        <f t="shared" si="19"/>
        <v>0.77540081767932589</v>
      </c>
      <c r="K22" s="88"/>
      <c r="L22" s="119">
        <v>0.6491949754439772</v>
      </c>
      <c r="M22" s="119">
        <v>0.69961992791619099</v>
      </c>
      <c r="N22" s="119">
        <v>0.7356521513402442</v>
      </c>
      <c r="O22" s="88"/>
      <c r="P22" s="119">
        <v>0.63128043670412171</v>
      </c>
      <c r="Q22" s="119">
        <v>0.67651881863024566</v>
      </c>
      <c r="R22" s="119">
        <v>0.82013900004124596</v>
      </c>
      <c r="S22" s="88"/>
      <c r="T22" s="119">
        <v>0.56252505664108243</v>
      </c>
      <c r="U22" s="119">
        <v>0.61378891079040698</v>
      </c>
      <c r="V22" s="119">
        <v>0.77041130165648741</v>
      </c>
    </row>
    <row r="23" spans="2:22" ht="16" hidden="1" outlineLevel="1" thickBot="1"/>
    <row r="24" spans="2:22" ht="37.5" customHeight="1" collapsed="1">
      <c r="B24" s="209"/>
      <c r="D24" s="214" t="s">
        <v>3</v>
      </c>
      <c r="E24" s="215" t="s">
        <v>4</v>
      </c>
      <c r="F24" s="216" t="s">
        <v>5</v>
      </c>
      <c r="G24" s="155"/>
      <c r="H24" s="243" t="s">
        <v>3</v>
      </c>
      <c r="I24" s="244" t="s">
        <v>4</v>
      </c>
      <c r="J24" s="245" t="s">
        <v>5</v>
      </c>
      <c r="K24" s="155"/>
      <c r="L24" s="243" t="s">
        <v>3</v>
      </c>
      <c r="M24" s="244" t="s">
        <v>4</v>
      </c>
      <c r="N24" s="245" t="s">
        <v>5</v>
      </c>
      <c r="O24" s="155"/>
      <c r="P24" s="243" t="s">
        <v>3</v>
      </c>
      <c r="Q24" s="244" t="s">
        <v>4</v>
      </c>
      <c r="R24" s="245" t="s">
        <v>5</v>
      </c>
      <c r="S24" s="155"/>
      <c r="T24" s="243" t="s">
        <v>3</v>
      </c>
      <c r="U24" s="244" t="s">
        <v>4</v>
      </c>
      <c r="V24" s="245" t="s">
        <v>5</v>
      </c>
    </row>
    <row r="25" spans="2:22" ht="19.5" customHeight="1">
      <c r="B25" s="206" t="s">
        <v>13</v>
      </c>
      <c r="C25" s="199"/>
      <c r="D25" s="466">
        <f>SUM(D26:D28)</f>
        <v>0.59999999999999987</v>
      </c>
      <c r="E25" s="467">
        <f t="shared" ref="E25:F25" si="20">SUM(E26:E28)</f>
        <v>0.5</v>
      </c>
      <c r="F25" s="468">
        <f t="shared" si="20"/>
        <v>0.3</v>
      </c>
      <c r="G25" s="469"/>
      <c r="H25" s="470">
        <f t="shared" ref="H25" si="21">SUM(H26:H28)</f>
        <v>0.59999999999999987</v>
      </c>
      <c r="I25" s="467">
        <f t="shared" ref="I25" si="22">SUM(I26:I28)</f>
        <v>0.5</v>
      </c>
      <c r="J25" s="471">
        <f t="shared" ref="J25" si="23">SUM(J26:J28)</f>
        <v>0.3</v>
      </c>
      <c r="K25" s="469"/>
      <c r="L25" s="470">
        <f t="shared" ref="L25" si="24">SUM(L26:L28)</f>
        <v>0.59999999999999987</v>
      </c>
      <c r="M25" s="467">
        <f t="shared" ref="M25" si="25">SUM(M26:M28)</f>
        <v>0.5</v>
      </c>
      <c r="N25" s="471">
        <f t="shared" ref="N25" si="26">SUM(N26:N28)</f>
        <v>0.29999999999999993</v>
      </c>
      <c r="O25" s="469"/>
      <c r="P25" s="470">
        <f t="shared" ref="P25" si="27">SUM(P26:P28)</f>
        <v>0.59999999999999987</v>
      </c>
      <c r="Q25" s="467">
        <f t="shared" ref="Q25" si="28">SUM(Q26:Q28)</f>
        <v>0.5</v>
      </c>
      <c r="R25" s="471">
        <f t="shared" ref="R25" si="29">SUM(R26:R28)</f>
        <v>0.3</v>
      </c>
      <c r="S25" s="469"/>
      <c r="T25" s="470">
        <f t="shared" ref="T25" si="30">SUM(T26:T28)</f>
        <v>0.59999999999999987</v>
      </c>
      <c r="U25" s="467">
        <f t="shared" ref="U25" si="31">SUM(U26:U28)</f>
        <v>0.5</v>
      </c>
      <c r="V25" s="471">
        <f t="shared" ref="V25" si="32">SUM(V26:V28)</f>
        <v>0.3</v>
      </c>
    </row>
    <row r="26" spans="2:22" ht="19.5" customHeight="1">
      <c r="B26" s="442" t="s">
        <v>14</v>
      </c>
      <c r="C26" s="199"/>
      <c r="D26" s="443">
        <f>IFERROR(INDEX($B$5:$V$22,MATCH($B26,$B$5:$B$22,0),3),"")</f>
        <v>0.35999999999999988</v>
      </c>
      <c r="E26" s="444">
        <f>IFERROR(INDEX($B$5:$V$22,MATCH($B26,$B$5:$B$22,0),4),"")</f>
        <v>0.30000000000000004</v>
      </c>
      <c r="F26" s="445">
        <f>IFERROR(INDEX($B$5:$V$22,MATCH($B26,$B$5:$B$22,0),5),"")</f>
        <v>0.18418190078606078</v>
      </c>
      <c r="G26" s="441"/>
      <c r="H26" s="446">
        <f>IFERROR(INDEX($B$5:$V$22,MATCH($B26,$B$5:$B$22,0),7),"")</f>
        <v>0.35999999999999988</v>
      </c>
      <c r="I26" s="444">
        <f>IFERROR(INDEX($B$5:$V$22,MATCH($B26,$B$5:$B$22,0),8),"")</f>
        <v>0.30000000000000004</v>
      </c>
      <c r="J26" s="447">
        <f>IFERROR(INDEX($B$5:$V$22,MATCH($B26,$B$5:$B$22,0),9),"")</f>
        <v>0.18418190078606078</v>
      </c>
      <c r="K26" s="441"/>
      <c r="L26" s="446">
        <f>IFERROR(INDEX($B$5:$V$22,MATCH($B26,$B$5:$B$22,0),11),"")</f>
        <v>0.35999999999999988</v>
      </c>
      <c r="M26" s="444">
        <f>IFERROR(INDEX($B$5:$V$22,MATCH($B26,$B$5:$B$22,0),12),"")</f>
        <v>0.30000000000000004</v>
      </c>
      <c r="N26" s="447">
        <f>IFERROR(INDEX($B$5:$V$22,MATCH($B26,$B$5:$B$22,0),13),"")</f>
        <v>0.19254570235818233</v>
      </c>
      <c r="O26" s="441"/>
      <c r="P26" s="446">
        <f>IFERROR(INDEX($B$5:$V$22,MATCH($B26,$B$5:$B$22,0),15),"")</f>
        <v>0.35999999999999993</v>
      </c>
      <c r="Q26" s="444">
        <f>IFERROR(INDEX($B$5:$V$22,MATCH($B26,$B$5:$B$22,0),16),"")</f>
        <v>0.3</v>
      </c>
      <c r="R26" s="447">
        <f>IFERROR(INDEX($B$5:$V$22,MATCH($B26,$B$5:$B$22,0),17),"")</f>
        <v>0.18</v>
      </c>
      <c r="S26" s="441"/>
      <c r="T26" s="446">
        <f>IFERROR(INDEX($B$5:$V$22,MATCH($B26,$B$5:$B$22,0),19),"")</f>
        <v>0.35999999999999988</v>
      </c>
      <c r="U26" s="444">
        <f>IFERROR(INDEX($B$5:$V$22,MATCH($B26,$B$5:$B$22,0),20),"")</f>
        <v>0.3</v>
      </c>
      <c r="V26" s="447">
        <f>IFERROR(INDEX($B$5:$V$22,MATCH($B26,$B$5:$B$22,0),21),"")</f>
        <v>0.18</v>
      </c>
    </row>
    <row r="27" spans="2:22" ht="19.5" customHeight="1">
      <c r="B27" s="442" t="s">
        <v>15</v>
      </c>
      <c r="C27" s="199"/>
      <c r="D27" s="443">
        <f t="shared" ref="D27:D41" si="33">IFERROR(INDEX($B$5:$F$22,MATCH($B27,$B$5:$B$22,0),3),"")</f>
        <v>0.18000000000000002</v>
      </c>
      <c r="E27" s="444">
        <f t="shared" ref="E27:E41" si="34">IFERROR(INDEX($B$5:$V$22,MATCH($B27,$B$5:$B$22,0),4),"")</f>
        <v>0.14000000000000001</v>
      </c>
      <c r="F27" s="445">
        <f t="shared" ref="F27:F41" si="35">IFERROR(INDEX($B$5:$V$22,MATCH($B27,$B$5:$B$22,0),5),"")</f>
        <v>0.11581809921393921</v>
      </c>
      <c r="G27" s="441"/>
      <c r="H27" s="446">
        <f t="shared" ref="H27:H41" si="36">IFERROR(INDEX($B$5:$V$22,MATCH($B27,$B$5:$B$22,0),7),"")</f>
        <v>0.18000000000000002</v>
      </c>
      <c r="I27" s="444">
        <f t="shared" ref="I27:I41" si="37">IFERROR(INDEX($B$5:$V$22,MATCH($B27,$B$5:$B$22,0),8),"")</f>
        <v>0.14000000000000001</v>
      </c>
      <c r="J27" s="447">
        <f t="shared" ref="J27:J41" si="38">IFERROR(INDEX($B$5:$V$22,MATCH($B27,$B$5:$B$22,0),9),"")</f>
        <v>0.11581809921393921</v>
      </c>
      <c r="K27" s="441"/>
      <c r="L27" s="446">
        <f t="shared" ref="L27:L41" si="39">IFERROR(INDEX($B$5:$V$22,MATCH($B27,$B$5:$B$22,0),11),"")</f>
        <v>0.18</v>
      </c>
      <c r="M27" s="444">
        <f t="shared" ref="M27:M41" si="40">IFERROR(INDEX($B$5:$V$22,MATCH($B27,$B$5:$B$22,0),12),"")</f>
        <v>0.14000000000000001</v>
      </c>
      <c r="N27" s="447">
        <f t="shared" ref="N27:N41" si="41">IFERROR(INDEX($B$5:$V$22,MATCH($B27,$B$5:$B$22,0),13),"")</f>
        <v>0.10745429764181762</v>
      </c>
      <c r="O27" s="441"/>
      <c r="P27" s="446">
        <f t="shared" ref="P27:P41" si="42">IFERROR(INDEX($B$5:$V$22,MATCH($B27,$B$5:$B$22,0),15),"")</f>
        <v>0.18</v>
      </c>
      <c r="Q27" s="444">
        <f t="shared" ref="Q27:Q41" si="43">IFERROR(INDEX($B$5:$V$22,MATCH($B27,$B$5:$B$22,0),16),"")</f>
        <v>0.14000000000000001</v>
      </c>
      <c r="R27" s="447">
        <f t="shared" ref="R27:R41" si="44">IFERROR(INDEX($B$5:$V$22,MATCH($B27,$B$5:$B$22,0),17),"")</f>
        <v>0.12</v>
      </c>
      <c r="S27" s="441"/>
      <c r="T27" s="446">
        <f t="shared" ref="T27:T41" si="45">IFERROR(INDEX($B$5:$V$22,MATCH($B27,$B$5:$B$22,0),19),"")</f>
        <v>0.18</v>
      </c>
      <c r="U27" s="444">
        <f t="shared" ref="U27:U41" si="46">IFERROR(INDEX($B$5:$V$22,MATCH($B27,$B$5:$B$22,0),20),"")</f>
        <v>0.14000000000000001</v>
      </c>
      <c r="V27" s="447">
        <f t="shared" ref="V27:V41" si="47">IFERROR(INDEX($B$5:$V$22,MATCH($B27,$B$5:$B$22,0),21),"")</f>
        <v>0.12</v>
      </c>
    </row>
    <row r="28" spans="2:22" ht="19.5" customHeight="1">
      <c r="B28" s="442" t="s">
        <v>16</v>
      </c>
      <c r="C28" s="199"/>
      <c r="D28" s="443">
        <f t="shared" si="33"/>
        <v>0.06</v>
      </c>
      <c r="E28" s="444">
        <f t="shared" si="34"/>
        <v>0.06</v>
      </c>
      <c r="F28" s="445">
        <f t="shared" si="35"/>
        <v>0</v>
      </c>
      <c r="G28" s="441"/>
      <c r="H28" s="446">
        <f t="shared" si="36"/>
        <v>0.06</v>
      </c>
      <c r="I28" s="444">
        <f t="shared" si="37"/>
        <v>0.06</v>
      </c>
      <c r="J28" s="447">
        <f t="shared" si="38"/>
        <v>0</v>
      </c>
      <c r="K28" s="441"/>
      <c r="L28" s="446">
        <f t="shared" si="39"/>
        <v>0.06</v>
      </c>
      <c r="M28" s="444">
        <f t="shared" si="40"/>
        <v>0.06</v>
      </c>
      <c r="N28" s="447">
        <f t="shared" si="41"/>
        <v>0</v>
      </c>
      <c r="O28" s="441"/>
      <c r="P28" s="446">
        <f t="shared" si="42"/>
        <v>0.06</v>
      </c>
      <c r="Q28" s="444">
        <f t="shared" si="43"/>
        <v>0.06</v>
      </c>
      <c r="R28" s="447">
        <f t="shared" si="44"/>
        <v>0</v>
      </c>
      <c r="S28" s="441"/>
      <c r="T28" s="446">
        <f t="shared" si="45"/>
        <v>0.06</v>
      </c>
      <c r="U28" s="444">
        <f t="shared" si="46"/>
        <v>0.06</v>
      </c>
      <c r="V28" s="447">
        <f t="shared" si="47"/>
        <v>0</v>
      </c>
    </row>
    <row r="29" spans="2:22" ht="19.5" customHeight="1">
      <c r="B29" s="206" t="s">
        <v>17</v>
      </c>
      <c r="C29" s="199"/>
      <c r="D29" s="466">
        <f>SUM(D30:D32)</f>
        <v>0.1799999999999998</v>
      </c>
      <c r="E29" s="467">
        <f t="shared" ref="E29:F29" si="48">SUM(E30:E32)</f>
        <v>0.28000033333333313</v>
      </c>
      <c r="F29" s="468">
        <f t="shared" si="48"/>
        <v>0.48000066666666646</v>
      </c>
      <c r="G29" s="469"/>
      <c r="H29" s="470">
        <f t="shared" ref="H29:J29" si="49">SUM(H30:H32)</f>
        <v>0.1799999999999998</v>
      </c>
      <c r="I29" s="467">
        <f t="shared" si="49"/>
        <v>0.28000033333333313</v>
      </c>
      <c r="J29" s="471">
        <f t="shared" si="49"/>
        <v>0.48000066666666646</v>
      </c>
      <c r="K29" s="469"/>
      <c r="L29" s="470">
        <f t="shared" ref="L29:N29" si="50">SUM(L30:L32)</f>
        <v>9.9999999999999811E-2</v>
      </c>
      <c r="M29" s="467">
        <f t="shared" si="50"/>
        <v>0.20000099999999973</v>
      </c>
      <c r="N29" s="471">
        <f t="shared" si="50"/>
        <v>0.40000099999999977</v>
      </c>
      <c r="O29" s="469"/>
      <c r="P29" s="470">
        <f t="shared" ref="P29:R29" si="51">SUM(P30:P32)</f>
        <v>9.9999999999999936E-2</v>
      </c>
      <c r="Q29" s="467">
        <f t="shared" si="51"/>
        <v>0.19999999999999971</v>
      </c>
      <c r="R29" s="471">
        <f t="shared" si="51"/>
        <v>0.39999999999999969</v>
      </c>
      <c r="S29" s="469"/>
      <c r="T29" s="470">
        <f t="shared" ref="T29:V29" si="52">SUM(T30:T32)</f>
        <v>0.33999999999999975</v>
      </c>
      <c r="U29" s="467">
        <f t="shared" si="52"/>
        <v>0.43999999999999984</v>
      </c>
      <c r="V29" s="471">
        <f t="shared" si="52"/>
        <v>0.64000099999999982</v>
      </c>
    </row>
    <row r="30" spans="2:22" ht="19.5" customHeight="1">
      <c r="B30" s="442" t="s">
        <v>18</v>
      </c>
      <c r="C30" s="199"/>
      <c r="D30" s="443">
        <f t="shared" si="33"/>
        <v>5.6666666666666587E-2</v>
      </c>
      <c r="E30" s="444">
        <f t="shared" si="34"/>
        <v>0.15930222233589092</v>
      </c>
      <c r="F30" s="445">
        <f t="shared" si="35"/>
        <v>0.41910613380137668</v>
      </c>
      <c r="G30" s="441"/>
      <c r="H30" s="446">
        <f t="shared" si="36"/>
        <v>5.6666666666666587E-2</v>
      </c>
      <c r="I30" s="444">
        <f t="shared" si="37"/>
        <v>0.15930222233589092</v>
      </c>
      <c r="J30" s="447">
        <f t="shared" si="38"/>
        <v>0.41910613380137668</v>
      </c>
      <c r="K30" s="441"/>
      <c r="L30" s="446">
        <f t="shared" si="39"/>
        <v>6.9999999999999812E-2</v>
      </c>
      <c r="M30" s="444">
        <f t="shared" si="40"/>
        <v>0.17000099999999974</v>
      </c>
      <c r="N30" s="447">
        <f t="shared" si="41"/>
        <v>0.40000099999999977</v>
      </c>
      <c r="O30" s="441"/>
      <c r="P30" s="446">
        <f t="shared" si="42"/>
        <v>9.9999999999999936E-2</v>
      </c>
      <c r="Q30" s="444">
        <f t="shared" si="43"/>
        <v>0.19999999999999971</v>
      </c>
      <c r="R30" s="447">
        <f t="shared" si="44"/>
        <v>0.39999999999999969</v>
      </c>
      <c r="S30" s="441"/>
      <c r="T30" s="446">
        <f t="shared" si="45"/>
        <v>0</v>
      </c>
      <c r="U30" s="444">
        <f t="shared" si="46"/>
        <v>0.10790566700767328</v>
      </c>
      <c r="V30" s="447">
        <f t="shared" si="47"/>
        <v>0.45731740140413046</v>
      </c>
    </row>
    <row r="31" spans="2:22" ht="19.5" customHeight="1">
      <c r="B31" s="442" t="s">
        <v>19</v>
      </c>
      <c r="C31" s="199"/>
      <c r="D31" s="443">
        <f t="shared" si="33"/>
        <v>0.10333333333333324</v>
      </c>
      <c r="E31" s="444">
        <f t="shared" si="34"/>
        <v>0.10069811099744219</v>
      </c>
      <c r="F31" s="445">
        <f t="shared" si="35"/>
        <v>6.0894532865289779E-2</v>
      </c>
      <c r="G31" s="441"/>
      <c r="H31" s="446">
        <f t="shared" si="36"/>
        <v>0.10333333333333324</v>
      </c>
      <c r="I31" s="444">
        <f t="shared" si="37"/>
        <v>0.10069811099744219</v>
      </c>
      <c r="J31" s="447">
        <f t="shared" si="38"/>
        <v>6.0894532865289779E-2</v>
      </c>
      <c r="K31" s="441"/>
      <c r="L31" s="446">
        <f t="shared" si="39"/>
        <v>0</v>
      </c>
      <c r="M31" s="444">
        <f t="shared" si="40"/>
        <v>0</v>
      </c>
      <c r="N31" s="447">
        <f t="shared" si="41"/>
        <v>0</v>
      </c>
      <c r="O31" s="441"/>
      <c r="P31" s="446">
        <f t="shared" si="42"/>
        <v>0</v>
      </c>
      <c r="Q31" s="444">
        <f t="shared" si="43"/>
        <v>0</v>
      </c>
      <c r="R31" s="447">
        <f t="shared" si="44"/>
        <v>0</v>
      </c>
      <c r="S31" s="441"/>
      <c r="T31" s="446">
        <f t="shared" si="45"/>
        <v>0.30999999999999972</v>
      </c>
      <c r="U31" s="444">
        <f t="shared" si="46"/>
        <v>0.30209433299232658</v>
      </c>
      <c r="V31" s="447">
        <f t="shared" si="47"/>
        <v>0.18268359859586933</v>
      </c>
    </row>
    <row r="32" spans="2:22" ht="19.5" customHeight="1">
      <c r="B32" s="442" t="s">
        <v>20</v>
      </c>
      <c r="C32" s="199"/>
      <c r="D32" s="443">
        <f t="shared" si="33"/>
        <v>0.02</v>
      </c>
      <c r="E32" s="444">
        <f t="shared" si="34"/>
        <v>0.02</v>
      </c>
      <c r="F32" s="445">
        <f t="shared" si="35"/>
        <v>0</v>
      </c>
      <c r="G32" s="441"/>
      <c r="H32" s="446">
        <f t="shared" si="36"/>
        <v>0.02</v>
      </c>
      <c r="I32" s="444">
        <f t="shared" si="37"/>
        <v>0.02</v>
      </c>
      <c r="J32" s="447">
        <f t="shared" si="38"/>
        <v>0</v>
      </c>
      <c r="K32" s="441"/>
      <c r="L32" s="446">
        <f t="shared" si="39"/>
        <v>3.0000000000000002E-2</v>
      </c>
      <c r="M32" s="444">
        <f t="shared" si="40"/>
        <v>3.0000000000000002E-2</v>
      </c>
      <c r="N32" s="447">
        <f t="shared" si="41"/>
        <v>0</v>
      </c>
      <c r="O32" s="441"/>
      <c r="P32" s="446">
        <f t="shared" si="42"/>
        <v>0</v>
      </c>
      <c r="Q32" s="444">
        <f t="shared" si="43"/>
        <v>0</v>
      </c>
      <c r="R32" s="447">
        <f t="shared" si="44"/>
        <v>0</v>
      </c>
      <c r="S32" s="441"/>
      <c r="T32" s="446">
        <f t="shared" si="45"/>
        <v>3.0000000000000002E-2</v>
      </c>
      <c r="U32" s="444">
        <f t="shared" si="46"/>
        <v>0.03</v>
      </c>
      <c r="V32" s="447">
        <f t="shared" si="47"/>
        <v>0</v>
      </c>
    </row>
    <row r="33" spans="2:22" ht="19.5" customHeight="1">
      <c r="B33" s="206" t="s">
        <v>21</v>
      </c>
      <c r="C33" s="199"/>
      <c r="D33" s="466">
        <f>SUM(D34:D38)</f>
        <v>0.22</v>
      </c>
      <c r="E33" s="467">
        <f t="shared" ref="E33:F33" si="53">SUM(E34:E38)</f>
        <v>0.21999966666676674</v>
      </c>
      <c r="F33" s="468">
        <f t="shared" si="53"/>
        <v>0.21999933333343361</v>
      </c>
      <c r="G33" s="469"/>
      <c r="H33" s="470">
        <f t="shared" ref="H33:J33" si="54">SUM(H34:H38)</f>
        <v>0.22</v>
      </c>
      <c r="I33" s="467">
        <f t="shared" si="54"/>
        <v>0.21999966666676674</v>
      </c>
      <c r="J33" s="471">
        <f t="shared" si="54"/>
        <v>0.21999933333343361</v>
      </c>
      <c r="K33" s="469"/>
      <c r="L33" s="470">
        <f t="shared" ref="L33:N33" si="55">SUM(L34:L38)</f>
        <v>0.29999999999999993</v>
      </c>
      <c r="M33" s="467">
        <f t="shared" si="55"/>
        <v>0.3</v>
      </c>
      <c r="N33" s="471">
        <f t="shared" si="55"/>
        <v>0.3</v>
      </c>
      <c r="O33" s="469"/>
      <c r="P33" s="470">
        <f t="shared" ref="P33:R33" si="56">SUM(P34:P38)</f>
        <v>0.3</v>
      </c>
      <c r="Q33" s="467">
        <f t="shared" si="56"/>
        <v>0.3</v>
      </c>
      <c r="R33" s="471">
        <f t="shared" si="56"/>
        <v>0.3</v>
      </c>
      <c r="S33" s="469"/>
      <c r="T33" s="470">
        <f t="shared" ref="T33:V33" si="57">SUM(T34:T38)</f>
        <v>0.06</v>
      </c>
      <c r="U33" s="467">
        <f t="shared" si="57"/>
        <v>0.06</v>
      </c>
      <c r="V33" s="471">
        <f t="shared" si="57"/>
        <v>0.06</v>
      </c>
    </row>
    <row r="34" spans="2:22" ht="19.5" customHeight="1">
      <c r="B34" s="442" t="s">
        <v>22</v>
      </c>
      <c r="C34" s="199"/>
      <c r="D34" s="443">
        <f>IF(SUM(D$5:D$15)&gt;1.000000001,(((1.0000000000001-SUM(D$5:D$15))/5)+(IFERROR(INDEX($B$5:$F$22,MATCH($B34,$B$5:$B$22,0),3),""))),IFERROR(INDEX($B$5:$F$22,MATCH($B34,$B$5:$B$22,0),3),""))</f>
        <v>0.08</v>
      </c>
      <c r="E34" s="444">
        <f>IF(SUM(E$5:E$15)&gt;1.000000001,(((1.0000000000001-SUM(E$5:E$15))/5)+(IFERROR(INDEX($B$5:$V$22,MATCH($B34,$B$5:$B$22,0),4),""))),IFERROR(INDEX($B$5:$V$22,MATCH($B34,$B$5:$B$22,0),4),""))</f>
        <v>7.1157581810322543E-2</v>
      </c>
      <c r="F34" s="445">
        <f>IF(SUM(F$5:F$15)&gt;1.00000001,(((1.0000000000001-SUM(F$5:F$15))/5)+(IFERROR(INDEX($B$5:$V$22,MATCH($B34,$B$5:$B$22,0),5),""))),IFERROR(INDEX($B$5:$V$22,MATCH($B34,$B$5:$B$22,0),5),""))</f>
        <v>5.9999866666686719E-2</v>
      </c>
      <c r="G34" s="441"/>
      <c r="H34" s="446">
        <f>IF(SUM(H$5:H$15)&gt;1.00000000001,(((1.0000000000001-SUM(H$5:H$15))/5)+(IFERROR(INDEX($B$5:$V$22,MATCH($B34,$B$5:$B$22,0),7),""))),IFERROR(INDEX($B$5:$V$22,MATCH($B34,$B$5:$B$22,0),7),""))</f>
        <v>0.08</v>
      </c>
      <c r="I34" s="444">
        <f>IF(SUM(I$5:I$15)&gt;1.00000000001,(((1.0000000000001-SUM(I$5:I$15))/5)+(IFERROR(INDEX($B$5:$V$22,MATCH($B34,$B$5:$B$22,0),8),""))),IFERROR(INDEX($B$5:$V$22,MATCH($B34,$B$5:$B$22,0),8),""))</f>
        <v>7.1157581810322543E-2</v>
      </c>
      <c r="J34" s="447">
        <f>IF(SUM(J$5:J$15)&gt;1.00000000001,(((1.0000000000001-SUM(J$5:J$15))/5)+(IFERROR(INDEX($B$5:$V$22,MATCH($B34,$B$5:$B$22,0),9),""))),IFERROR(INDEX($B$5:$V$22,MATCH($B34,$B$5:$B$22,0),9),""))</f>
        <v>5.9999866666686719E-2</v>
      </c>
      <c r="K34" s="441"/>
      <c r="L34" s="446">
        <f t="shared" si="39"/>
        <v>0</v>
      </c>
      <c r="M34" s="444">
        <f t="shared" si="40"/>
        <v>0</v>
      </c>
      <c r="N34" s="447">
        <f t="shared" si="41"/>
        <v>0</v>
      </c>
      <c r="O34" s="441"/>
      <c r="P34" s="446">
        <f t="shared" si="42"/>
        <v>0.24</v>
      </c>
      <c r="Q34" s="444">
        <f t="shared" si="43"/>
        <v>0.21347294543090758</v>
      </c>
      <c r="R34" s="447">
        <f t="shared" si="44"/>
        <v>0.18</v>
      </c>
      <c r="S34" s="441"/>
      <c r="T34" s="446">
        <f t="shared" si="45"/>
        <v>0</v>
      </c>
      <c r="U34" s="444">
        <f t="shared" si="46"/>
        <v>0</v>
      </c>
      <c r="V34" s="447">
        <f t="shared" si="47"/>
        <v>0</v>
      </c>
    </row>
    <row r="35" spans="2:22" ht="19.5" customHeight="1">
      <c r="B35" s="442" t="s">
        <v>23</v>
      </c>
      <c r="C35" s="199"/>
      <c r="D35" s="443">
        <f t="shared" ref="D35:D38" si="58">IF(SUM(D$5:D$15)&gt;1.000000001,(((1.0000000000001-SUM(D$5:D$15))/5)+(IFERROR(INDEX($B$5:$F$22,MATCH($B35,$B$5:$B$22,0),3),""))),IFERROR(INDEX($B$5:$F$22,MATCH($B35,$B$5:$B$22,0),3),""))</f>
        <v>0.02</v>
      </c>
      <c r="E35" s="444">
        <f t="shared" ref="E35:E38" si="59">IF(SUM(E$5:E$15)&gt;1.000000001,(((1.0000000000001-SUM(E$5:E$15))/5)+(IFERROR(INDEX($B$5:$V$22,MATCH($B35,$B$5:$B$22,0),4),""))),IFERROR(INDEX($B$5:$V$22,MATCH($B35,$B$5:$B$22,0),4),""))</f>
        <v>2.8842284856384157E-2</v>
      </c>
      <c r="F35" s="445">
        <f t="shared" ref="F35:F38" si="60">IF(SUM(F$5:F$15)&gt;1.00000001,(((1.0000000000001-SUM(F$5:F$15))/5)+(IFERROR(INDEX($B$5:$V$22,MATCH($B35,$B$5:$B$22,0),5),""))),IFERROR(INDEX($B$5:$V$22,MATCH($B35,$B$5:$B$22,0),5),""))</f>
        <v>3.9999866666686722E-2</v>
      </c>
      <c r="G35" s="441"/>
      <c r="H35" s="446">
        <f t="shared" ref="H35:H38" si="61">IF(SUM(H$5:H$15)&gt;1.00000000001,(((1.0000000000001-SUM(H$5:H$15))/5)+(IFERROR(INDEX($B$5:$V$22,MATCH($B35,$B$5:$B$22,0),7),""))),IFERROR(INDEX($B$5:$V$22,MATCH($B35,$B$5:$B$22,0),7),""))</f>
        <v>0.02</v>
      </c>
      <c r="I35" s="444">
        <f t="shared" ref="I35:I38" si="62">IF(SUM(I$5:I$15)&gt;1.00000000001,(((1.0000000000001-SUM(I$5:I$15))/5)+(IFERROR(INDEX($B$5:$V$22,MATCH($B35,$B$5:$B$22,0),8),""))),IFERROR(INDEX($B$5:$V$22,MATCH($B35,$B$5:$B$22,0),8),""))</f>
        <v>2.8842284856384157E-2</v>
      </c>
      <c r="J35" s="447">
        <f t="shared" ref="J35:J38" si="63">IF(SUM(J$5:J$15)&gt;1.00000000001,(((1.0000000000001-SUM(J$5:J$15))/5)+(IFERROR(INDEX($B$5:$V$22,MATCH($B35,$B$5:$B$22,0),9),""))),IFERROR(INDEX($B$5:$V$22,MATCH($B35,$B$5:$B$22,0),9),""))</f>
        <v>3.9999866666686722E-2</v>
      </c>
      <c r="K35" s="441"/>
      <c r="L35" s="446">
        <f t="shared" si="39"/>
        <v>0.06</v>
      </c>
      <c r="M35" s="444">
        <f t="shared" si="40"/>
        <v>0.06</v>
      </c>
      <c r="N35" s="447">
        <f t="shared" si="41"/>
        <v>0.06</v>
      </c>
      <c r="O35" s="441"/>
      <c r="P35" s="446">
        <f t="shared" si="42"/>
        <v>0</v>
      </c>
      <c r="Q35" s="444">
        <f t="shared" si="43"/>
        <v>2.6527054569092417E-2</v>
      </c>
      <c r="R35" s="447">
        <f t="shared" si="44"/>
        <v>0.06</v>
      </c>
      <c r="S35" s="441"/>
      <c r="T35" s="446">
        <f t="shared" si="45"/>
        <v>0</v>
      </c>
      <c r="U35" s="444">
        <f t="shared" si="46"/>
        <v>0</v>
      </c>
      <c r="V35" s="447">
        <f t="shared" si="47"/>
        <v>0</v>
      </c>
    </row>
    <row r="36" spans="2:22" ht="19.5" customHeight="1">
      <c r="B36" s="442" t="s">
        <v>24</v>
      </c>
      <c r="C36" s="199"/>
      <c r="D36" s="443">
        <f t="shared" si="58"/>
        <v>0.06</v>
      </c>
      <c r="E36" s="444">
        <f t="shared" si="59"/>
        <v>5.3872926949179438E-2</v>
      </c>
      <c r="F36" s="445">
        <f t="shared" si="60"/>
        <v>4.800261363119207E-2</v>
      </c>
      <c r="G36" s="441"/>
      <c r="H36" s="446">
        <f t="shared" si="61"/>
        <v>0.06</v>
      </c>
      <c r="I36" s="444">
        <f t="shared" si="62"/>
        <v>5.3872926949179438E-2</v>
      </c>
      <c r="J36" s="447">
        <f t="shared" si="63"/>
        <v>4.800261363119207E-2</v>
      </c>
      <c r="K36" s="441"/>
      <c r="L36" s="446">
        <f t="shared" si="39"/>
        <v>0.06</v>
      </c>
      <c r="M36" s="444">
        <f t="shared" si="40"/>
        <v>4.1618980847478268E-2</v>
      </c>
      <c r="N36" s="447">
        <f t="shared" si="41"/>
        <v>2.4008240893516056E-2</v>
      </c>
      <c r="O36" s="441"/>
      <c r="P36" s="446">
        <f t="shared" si="42"/>
        <v>5.9999999999999991E-2</v>
      </c>
      <c r="Q36" s="444">
        <f t="shared" si="43"/>
        <v>5.9999999999999991E-2</v>
      </c>
      <c r="R36" s="447">
        <f t="shared" si="44"/>
        <v>0.06</v>
      </c>
      <c r="S36" s="441"/>
      <c r="T36" s="446">
        <f t="shared" si="45"/>
        <v>0.06</v>
      </c>
      <c r="U36" s="444">
        <f t="shared" si="46"/>
        <v>0.06</v>
      </c>
      <c r="V36" s="447">
        <f t="shared" si="47"/>
        <v>0.06</v>
      </c>
    </row>
    <row r="37" spans="2:22" ht="19.5" customHeight="1">
      <c r="B37" s="442" t="s">
        <v>25</v>
      </c>
      <c r="C37" s="199"/>
      <c r="D37" s="443">
        <f t="shared" si="58"/>
        <v>2.090091404852196E-2</v>
      </c>
      <c r="E37" s="444">
        <f t="shared" si="59"/>
        <v>1.4778143316803244E-2</v>
      </c>
      <c r="F37" s="445">
        <f t="shared" si="60"/>
        <v>1.5894772292751644E-2</v>
      </c>
      <c r="G37" s="441"/>
      <c r="H37" s="446">
        <f t="shared" si="61"/>
        <v>2.090091404852196E-2</v>
      </c>
      <c r="I37" s="444">
        <f t="shared" si="62"/>
        <v>1.4778143316803244E-2</v>
      </c>
      <c r="J37" s="447">
        <f t="shared" si="63"/>
        <v>1.5894772292751644E-2</v>
      </c>
      <c r="K37" s="441"/>
      <c r="L37" s="446">
        <f t="shared" si="39"/>
        <v>6.2702742145565885E-2</v>
      </c>
      <c r="M37" s="444">
        <f t="shared" si="40"/>
        <v>4.4334629950349674E-2</v>
      </c>
      <c r="N37" s="447">
        <f t="shared" si="41"/>
        <v>4.7684716878194769E-2</v>
      </c>
      <c r="O37" s="441"/>
      <c r="P37" s="446">
        <f t="shared" si="42"/>
        <v>0</v>
      </c>
      <c r="Q37" s="444">
        <f t="shared" si="43"/>
        <v>0</v>
      </c>
      <c r="R37" s="447">
        <f t="shared" si="44"/>
        <v>0</v>
      </c>
      <c r="S37" s="441"/>
      <c r="T37" s="446">
        <f t="shared" si="45"/>
        <v>0</v>
      </c>
      <c r="U37" s="444">
        <f t="shared" si="46"/>
        <v>0</v>
      </c>
      <c r="V37" s="447">
        <f t="shared" si="47"/>
        <v>0</v>
      </c>
    </row>
    <row r="38" spans="2:22" ht="19.5" customHeight="1">
      <c r="B38" s="448" t="s">
        <v>26</v>
      </c>
      <c r="C38" s="199"/>
      <c r="D38" s="449">
        <f t="shared" si="58"/>
        <v>3.9099085951478034E-2</v>
      </c>
      <c r="E38" s="450">
        <f t="shared" si="59"/>
        <v>5.1348729734077371E-2</v>
      </c>
      <c r="F38" s="451">
        <f t="shared" si="60"/>
        <v>5.6102214076116451E-2</v>
      </c>
      <c r="G38" s="441"/>
      <c r="H38" s="452">
        <f t="shared" si="61"/>
        <v>3.9099085951478034E-2</v>
      </c>
      <c r="I38" s="450">
        <f t="shared" si="62"/>
        <v>5.1348729734077371E-2</v>
      </c>
      <c r="J38" s="453">
        <f t="shared" si="63"/>
        <v>5.6102214076116451E-2</v>
      </c>
      <c r="K38" s="441"/>
      <c r="L38" s="452">
        <f t="shared" si="39"/>
        <v>0.11729725785443409</v>
      </c>
      <c r="M38" s="450">
        <f t="shared" si="40"/>
        <v>0.15404638920217206</v>
      </c>
      <c r="N38" s="453">
        <f t="shared" si="41"/>
        <v>0.16830704222828918</v>
      </c>
      <c r="O38" s="441"/>
      <c r="P38" s="452">
        <f t="shared" si="42"/>
        <v>0</v>
      </c>
      <c r="Q38" s="450">
        <f t="shared" si="43"/>
        <v>0</v>
      </c>
      <c r="R38" s="453">
        <f t="shared" si="44"/>
        <v>0</v>
      </c>
      <c r="S38" s="441"/>
      <c r="T38" s="452">
        <f t="shared" si="45"/>
        <v>0</v>
      </c>
      <c r="U38" s="450">
        <f t="shared" si="46"/>
        <v>0</v>
      </c>
      <c r="V38" s="453">
        <f t="shared" si="47"/>
        <v>0</v>
      </c>
    </row>
    <row r="39" spans="2:22" ht="19.5" customHeight="1">
      <c r="B39" s="207" t="s">
        <v>10</v>
      </c>
      <c r="C39" s="199"/>
      <c r="D39" s="217">
        <f t="shared" si="33"/>
        <v>6.4092589048484624E-2</v>
      </c>
      <c r="E39" s="200">
        <f t="shared" si="34"/>
        <v>5.8662666139104702E-2</v>
      </c>
      <c r="F39" s="218">
        <f t="shared" si="35"/>
        <v>4.6762960351580708E-2</v>
      </c>
      <c r="G39" s="201"/>
      <c r="H39" s="246">
        <f t="shared" si="36"/>
        <v>6.4092589048484624E-2</v>
      </c>
      <c r="I39" s="200">
        <f t="shared" si="37"/>
        <v>5.8662666139104702E-2</v>
      </c>
      <c r="J39" s="247">
        <f t="shared" si="38"/>
        <v>4.6762960351580708E-2</v>
      </c>
      <c r="K39" s="201"/>
      <c r="L39" s="246">
        <f t="shared" si="39"/>
        <v>7.0183542007815028E-2</v>
      </c>
      <c r="M39" s="200">
        <f t="shared" si="40"/>
        <v>6.275422604849272E-2</v>
      </c>
      <c r="N39" s="247">
        <f t="shared" si="41"/>
        <v>4.7804057097847803E-2</v>
      </c>
      <c r="O39" s="201"/>
      <c r="P39" s="246">
        <f t="shared" si="42"/>
        <v>6.5579999999999999E-2</v>
      </c>
      <c r="Q39" s="200">
        <f t="shared" si="43"/>
        <v>6.0406474529925751E-2</v>
      </c>
      <c r="R39" s="247">
        <f t="shared" si="44"/>
        <v>5.0147999999999991E-2</v>
      </c>
      <c r="S39" s="201"/>
      <c r="T39" s="246">
        <f t="shared" si="45"/>
        <v>5.6514225137638832E-2</v>
      </c>
      <c r="U39" s="200">
        <f t="shared" si="46"/>
        <v>5.2827297838895657E-2</v>
      </c>
      <c r="V39" s="247">
        <f t="shared" si="47"/>
        <v>4.2336823956894344E-2</v>
      </c>
    </row>
    <row r="40" spans="2:22" ht="19.5" customHeight="1">
      <c r="B40" s="207" t="s">
        <v>11</v>
      </c>
      <c r="C40" s="199"/>
      <c r="D40" s="219">
        <f t="shared" si="33"/>
        <v>0.10415264357367</v>
      </c>
      <c r="E40" s="202">
        <f t="shared" si="34"/>
        <v>8.8351763943489439E-2</v>
      </c>
      <c r="F40" s="220">
        <f t="shared" si="35"/>
        <v>6.0360381098657712E-2</v>
      </c>
      <c r="G40" s="203"/>
      <c r="H40" s="248">
        <f t="shared" si="36"/>
        <v>0.10415264357367</v>
      </c>
      <c r="I40" s="202">
        <f t="shared" si="37"/>
        <v>8.8351763943489439E-2</v>
      </c>
      <c r="J40" s="249">
        <f t="shared" si="38"/>
        <v>6.0360381098657712E-2</v>
      </c>
      <c r="K40" s="203"/>
      <c r="L40" s="248">
        <f t="shared" si="39"/>
        <v>0.10810857240510417</v>
      </c>
      <c r="M40" s="202">
        <f t="shared" si="40"/>
        <v>8.9697596572763993E-2</v>
      </c>
      <c r="N40" s="249">
        <f t="shared" si="41"/>
        <v>6.4981876299493202E-2</v>
      </c>
      <c r="O40" s="203"/>
      <c r="P40" s="248">
        <f t="shared" si="42"/>
        <v>0.10388409997684919</v>
      </c>
      <c r="Q40" s="202">
        <f t="shared" si="43"/>
        <v>8.9290161435909995E-2</v>
      </c>
      <c r="R40" s="249">
        <f t="shared" si="44"/>
        <v>6.1145732610542819E-2</v>
      </c>
      <c r="S40" s="203"/>
      <c r="T40" s="248">
        <f t="shared" si="45"/>
        <v>0.10046525833905667</v>
      </c>
      <c r="U40" s="202">
        <f t="shared" si="46"/>
        <v>8.6067533821794329E-2</v>
      </c>
      <c r="V40" s="249">
        <f t="shared" si="47"/>
        <v>5.4953534385937107E-2</v>
      </c>
    </row>
    <row r="41" spans="2:22" ht="19.5" customHeight="1">
      <c r="B41" s="207" t="s">
        <v>12</v>
      </c>
      <c r="C41" s="199"/>
      <c r="D41" s="221">
        <f t="shared" si="33"/>
        <v>0.61433348959639378</v>
      </c>
      <c r="E41" s="204">
        <f t="shared" si="34"/>
        <v>0.66330921911228125</v>
      </c>
      <c r="F41" s="222">
        <f t="shared" si="35"/>
        <v>0.77540081767932589</v>
      </c>
      <c r="G41" s="205"/>
      <c r="H41" s="250">
        <f t="shared" si="36"/>
        <v>0.61433348959639378</v>
      </c>
      <c r="I41" s="204">
        <f t="shared" si="37"/>
        <v>0.66330921911228125</v>
      </c>
      <c r="J41" s="251">
        <f t="shared" si="38"/>
        <v>0.77540081767932589</v>
      </c>
      <c r="K41" s="205"/>
      <c r="L41" s="250">
        <f t="shared" si="39"/>
        <v>0.6491949754439772</v>
      </c>
      <c r="M41" s="204">
        <f t="shared" si="40"/>
        <v>0.69961992791619099</v>
      </c>
      <c r="N41" s="251">
        <f t="shared" si="41"/>
        <v>0.7356521513402442</v>
      </c>
      <c r="O41" s="205"/>
      <c r="P41" s="250">
        <f t="shared" si="42"/>
        <v>0.63128043670412171</v>
      </c>
      <c r="Q41" s="204">
        <f t="shared" si="43"/>
        <v>0.67651881863024566</v>
      </c>
      <c r="R41" s="251">
        <f t="shared" si="44"/>
        <v>0.82013900004124596</v>
      </c>
      <c r="S41" s="205"/>
      <c r="T41" s="250">
        <f t="shared" si="45"/>
        <v>0.56252505664108243</v>
      </c>
      <c r="U41" s="204">
        <f t="shared" si="46"/>
        <v>0.61378891079040698</v>
      </c>
      <c r="V41" s="251">
        <f t="shared" si="47"/>
        <v>0.77041130165648741</v>
      </c>
    </row>
    <row r="42" spans="2:22" ht="14" customHeight="1">
      <c r="D42" s="472"/>
      <c r="E42" s="473"/>
      <c r="F42" s="474"/>
      <c r="G42" s="473"/>
      <c r="H42" s="475"/>
      <c r="I42" s="473"/>
      <c r="J42" s="476"/>
      <c r="L42" s="252"/>
      <c r="N42" s="253"/>
      <c r="P42" s="252"/>
      <c r="R42" s="253"/>
      <c r="T42" s="252"/>
      <c r="V42" s="253"/>
    </row>
    <row r="43" spans="2:22" ht="14" customHeight="1">
      <c r="D43" s="223"/>
      <c r="F43" s="224"/>
      <c r="H43" s="252"/>
      <c r="J43" s="253"/>
      <c r="L43" s="252"/>
      <c r="N43" s="253"/>
      <c r="P43" s="252"/>
      <c r="R43" s="253"/>
      <c r="T43" s="252"/>
      <c r="V43" s="253"/>
    </row>
    <row r="44" spans="2:22" ht="14" customHeight="1">
      <c r="B44" s="501" t="s">
        <v>27</v>
      </c>
      <c r="D44" s="225"/>
      <c r="E44" s="208"/>
      <c r="F44" s="226"/>
      <c r="H44" s="254"/>
      <c r="I44" s="208"/>
      <c r="J44" s="255"/>
      <c r="L44" s="254"/>
      <c r="M44" s="208"/>
      <c r="N44" s="255"/>
      <c r="P44" s="254"/>
      <c r="Q44" s="208"/>
      <c r="R44" s="255"/>
      <c r="T44" s="254"/>
      <c r="U44" s="208"/>
      <c r="V44" s="255"/>
    </row>
    <row r="45" spans="2:22" ht="14" customHeight="1">
      <c r="B45" s="501"/>
      <c r="D45" s="225"/>
      <c r="E45" s="208"/>
      <c r="F45" s="226"/>
      <c r="H45" s="254"/>
      <c r="I45" s="208"/>
      <c r="J45" s="255"/>
      <c r="L45" s="254"/>
      <c r="M45" s="208"/>
      <c r="N45" s="255"/>
      <c r="P45" s="254"/>
      <c r="Q45" s="208"/>
      <c r="R45" s="255"/>
      <c r="T45" s="254"/>
      <c r="U45" s="208"/>
      <c r="V45" s="255"/>
    </row>
    <row r="46" spans="2:22" ht="14" customHeight="1">
      <c r="B46" s="501"/>
      <c r="D46" s="225"/>
      <c r="E46" s="208"/>
      <c r="F46" s="226"/>
      <c r="H46" s="254"/>
      <c r="I46" s="208"/>
      <c r="J46" s="255"/>
      <c r="L46" s="254"/>
      <c r="M46" s="208"/>
      <c r="N46" s="255"/>
      <c r="P46" s="254"/>
      <c r="Q46" s="208"/>
      <c r="R46" s="255"/>
      <c r="T46" s="254"/>
      <c r="U46" s="208"/>
      <c r="V46" s="255"/>
    </row>
    <row r="47" spans="2:22" ht="14" customHeight="1">
      <c r="B47" s="501"/>
      <c r="D47" s="225"/>
      <c r="E47" s="208"/>
      <c r="F47" s="226"/>
      <c r="H47" s="254"/>
      <c r="I47" s="208"/>
      <c r="J47" s="255"/>
      <c r="L47" s="254"/>
      <c r="M47" s="208"/>
      <c r="N47" s="255"/>
      <c r="P47" s="254"/>
      <c r="Q47" s="208"/>
      <c r="R47" s="255"/>
      <c r="T47" s="254"/>
      <c r="U47" s="208"/>
      <c r="V47" s="255"/>
    </row>
    <row r="48" spans="2:22" ht="14" customHeight="1">
      <c r="B48" s="501"/>
      <c r="D48" s="225"/>
      <c r="E48" s="208"/>
      <c r="F48" s="226"/>
      <c r="H48" s="254"/>
      <c r="I48" s="208"/>
      <c r="J48" s="255"/>
      <c r="L48" s="254"/>
      <c r="M48" s="208"/>
      <c r="N48" s="255"/>
      <c r="P48" s="254"/>
      <c r="Q48" s="208"/>
      <c r="R48" s="255"/>
      <c r="T48" s="254"/>
      <c r="U48" s="208"/>
      <c r="V48" s="255"/>
    </row>
    <row r="49" spans="2:22" ht="14" customHeight="1">
      <c r="B49" s="501"/>
      <c r="D49" s="225"/>
      <c r="E49" s="208"/>
      <c r="F49" s="226"/>
      <c r="H49" s="254"/>
      <c r="I49" s="208"/>
      <c r="J49" s="255"/>
      <c r="L49" s="254"/>
      <c r="M49" s="208"/>
      <c r="N49" s="255"/>
      <c r="P49" s="254"/>
      <c r="Q49" s="208"/>
      <c r="R49" s="255"/>
      <c r="T49" s="254"/>
      <c r="U49" s="208"/>
      <c r="V49" s="255"/>
    </row>
    <row r="50" spans="2:22" ht="14" customHeight="1">
      <c r="B50" s="501"/>
      <c r="D50" s="225"/>
      <c r="E50" s="208"/>
      <c r="F50" s="226"/>
      <c r="H50" s="254"/>
      <c r="I50" s="208"/>
      <c r="J50" s="255"/>
      <c r="L50" s="254"/>
      <c r="M50" s="208"/>
      <c r="N50" s="255"/>
      <c r="P50" s="254"/>
      <c r="Q50" s="208"/>
      <c r="R50" s="255"/>
      <c r="T50" s="254"/>
      <c r="U50" s="208"/>
      <c r="V50" s="255"/>
    </row>
    <row r="51" spans="2:22" ht="14" customHeight="1">
      <c r="B51" s="501"/>
      <c r="D51" s="225"/>
      <c r="E51" s="208"/>
      <c r="F51" s="226"/>
      <c r="H51" s="254"/>
      <c r="I51" s="208"/>
      <c r="J51" s="255"/>
      <c r="L51" s="254"/>
      <c r="M51" s="208"/>
      <c r="N51" s="255"/>
      <c r="P51" s="254"/>
      <c r="Q51" s="208"/>
      <c r="R51" s="255"/>
      <c r="T51" s="254"/>
      <c r="U51" s="208"/>
      <c r="V51" s="255"/>
    </row>
    <row r="52" spans="2:22" ht="14" customHeight="1">
      <c r="B52" s="501"/>
      <c r="D52" s="225"/>
      <c r="E52" s="208"/>
      <c r="F52" s="226"/>
      <c r="H52" s="254"/>
      <c r="I52" s="208"/>
      <c r="J52" s="255"/>
      <c r="L52" s="254"/>
      <c r="M52" s="208"/>
      <c r="N52" s="255"/>
      <c r="P52" s="254"/>
      <c r="Q52" s="208"/>
      <c r="R52" s="255"/>
      <c r="T52" s="254"/>
      <c r="U52" s="208"/>
      <c r="V52" s="255"/>
    </row>
    <row r="53" spans="2:22" ht="14" customHeight="1">
      <c r="B53" s="501"/>
      <c r="D53" s="225"/>
      <c r="E53" s="208"/>
      <c r="F53" s="226"/>
      <c r="H53" s="254"/>
      <c r="I53" s="208"/>
      <c r="J53" s="255"/>
      <c r="L53" s="254"/>
      <c r="M53" s="208"/>
      <c r="N53" s="255"/>
      <c r="P53" s="254"/>
      <c r="Q53" s="208"/>
      <c r="R53" s="255"/>
      <c r="T53" s="254"/>
      <c r="U53" s="208"/>
      <c r="V53" s="255"/>
    </row>
    <row r="54" spans="2:22" ht="14" customHeight="1">
      <c r="B54" s="501"/>
      <c r="D54" s="225"/>
      <c r="E54" s="208"/>
      <c r="F54" s="226"/>
      <c r="H54" s="254"/>
      <c r="I54" s="208"/>
      <c r="J54" s="255"/>
      <c r="L54" s="254"/>
      <c r="M54" s="208"/>
      <c r="N54" s="255"/>
      <c r="P54" s="254"/>
      <c r="Q54" s="208"/>
      <c r="R54" s="255"/>
      <c r="T54" s="254"/>
      <c r="U54" s="208"/>
      <c r="V54" s="255"/>
    </row>
    <row r="55" spans="2:22" ht="14" customHeight="1">
      <c r="B55" s="501"/>
      <c r="D55" s="225"/>
      <c r="E55" s="208"/>
      <c r="F55" s="226"/>
      <c r="H55" s="254"/>
      <c r="I55" s="208"/>
      <c r="J55" s="255"/>
      <c r="L55" s="254"/>
      <c r="M55" s="208"/>
      <c r="N55" s="255"/>
      <c r="P55" s="254"/>
      <c r="Q55" s="208"/>
      <c r="R55" s="255"/>
      <c r="T55" s="254"/>
      <c r="U55" s="208"/>
      <c r="V55" s="255"/>
    </row>
    <row r="56" spans="2:22" ht="14" customHeight="1">
      <c r="B56" s="501"/>
      <c r="D56" s="225"/>
      <c r="E56" s="208"/>
      <c r="F56" s="226"/>
      <c r="H56" s="254"/>
      <c r="I56" s="208"/>
      <c r="J56" s="255"/>
      <c r="L56" s="254"/>
      <c r="M56" s="208"/>
      <c r="N56" s="255"/>
      <c r="P56" s="254"/>
      <c r="Q56" s="208"/>
      <c r="R56" s="255"/>
      <c r="T56" s="254"/>
      <c r="U56" s="208"/>
      <c r="V56" s="255"/>
    </row>
    <row r="57" spans="2:22" ht="14" customHeight="1">
      <c r="B57" s="501"/>
      <c r="D57" s="225"/>
      <c r="E57" s="208"/>
      <c r="F57" s="226"/>
      <c r="H57" s="254"/>
      <c r="I57" s="208"/>
      <c r="J57" s="255"/>
      <c r="L57" s="254"/>
      <c r="M57" s="208"/>
      <c r="N57" s="255"/>
      <c r="P57" s="254"/>
      <c r="Q57" s="208"/>
      <c r="R57" s="255"/>
      <c r="T57" s="254"/>
      <c r="U57" s="208"/>
      <c r="V57" s="255"/>
    </row>
    <row r="58" spans="2:22" ht="14" customHeight="1">
      <c r="B58" s="501"/>
      <c r="D58" s="225"/>
      <c r="E58" s="208"/>
      <c r="F58" s="226"/>
      <c r="H58" s="254"/>
      <c r="I58" s="208"/>
      <c r="J58" s="255"/>
      <c r="L58" s="254"/>
      <c r="M58" s="208"/>
      <c r="N58" s="255"/>
      <c r="P58" s="254"/>
      <c r="Q58" s="208"/>
      <c r="R58" s="255"/>
      <c r="T58" s="254"/>
      <c r="U58" s="208"/>
      <c r="V58" s="255"/>
    </row>
    <row r="59" spans="2:22" ht="14" customHeight="1">
      <c r="B59" s="501"/>
      <c r="D59" s="225"/>
      <c r="E59" s="208"/>
      <c r="F59" s="226"/>
      <c r="H59" s="254"/>
      <c r="I59" s="208"/>
      <c r="J59" s="255"/>
      <c r="L59" s="254"/>
      <c r="M59" s="208"/>
      <c r="N59" s="255"/>
      <c r="P59" s="254"/>
      <c r="Q59" s="208"/>
      <c r="R59" s="255"/>
      <c r="T59" s="254"/>
      <c r="U59" s="208"/>
      <c r="V59" s="255"/>
    </row>
    <row r="60" spans="2:22" ht="14" customHeight="1">
      <c r="B60" s="501"/>
      <c r="D60" s="225"/>
      <c r="E60" s="208"/>
      <c r="F60" s="226"/>
      <c r="H60" s="254"/>
      <c r="I60" s="208"/>
      <c r="J60" s="255"/>
      <c r="L60" s="254"/>
      <c r="M60" s="208"/>
      <c r="N60" s="255"/>
      <c r="P60" s="254"/>
      <c r="Q60" s="208"/>
      <c r="R60" s="255"/>
      <c r="T60" s="254"/>
      <c r="U60" s="208"/>
      <c r="V60" s="255"/>
    </row>
    <row r="61" spans="2:22" ht="14" customHeight="1">
      <c r="B61" s="501"/>
      <c r="D61" s="225"/>
      <c r="E61" s="208"/>
      <c r="F61" s="226"/>
      <c r="H61" s="254"/>
      <c r="I61" s="208"/>
      <c r="J61" s="255"/>
      <c r="L61" s="254"/>
      <c r="M61" s="208"/>
      <c r="N61" s="255"/>
      <c r="P61" s="254"/>
      <c r="Q61" s="208"/>
      <c r="R61" s="255"/>
      <c r="T61" s="254"/>
      <c r="U61" s="208"/>
      <c r="V61" s="255"/>
    </row>
    <row r="62" spans="2:22" ht="14" customHeight="1">
      <c r="B62" s="501"/>
      <c r="D62" s="225"/>
      <c r="E62" s="208"/>
      <c r="F62" s="226"/>
      <c r="H62" s="254"/>
      <c r="I62" s="208"/>
      <c r="J62" s="255"/>
      <c r="L62" s="254"/>
      <c r="M62" s="208"/>
      <c r="N62" s="255"/>
      <c r="P62" s="254"/>
      <c r="Q62" s="208"/>
      <c r="R62" s="255"/>
      <c r="T62" s="254"/>
      <c r="U62" s="208"/>
      <c r="V62" s="255"/>
    </row>
    <row r="63" spans="2:22" ht="14" customHeight="1">
      <c r="B63" s="501"/>
      <c r="D63" s="225"/>
      <c r="E63" s="208"/>
      <c r="F63" s="226"/>
      <c r="H63" s="254"/>
      <c r="I63" s="208"/>
      <c r="J63" s="255"/>
      <c r="L63" s="254"/>
      <c r="M63" s="208"/>
      <c r="N63" s="255"/>
      <c r="P63" s="254"/>
      <c r="Q63" s="208"/>
      <c r="R63" s="255"/>
      <c r="T63" s="254"/>
      <c r="U63" s="208"/>
      <c r="V63" s="255"/>
    </row>
    <row r="64" spans="2:22" ht="13.25" customHeight="1">
      <c r="B64" s="501"/>
      <c r="D64" s="227"/>
      <c r="E64" s="210"/>
      <c r="F64" s="228"/>
      <c r="H64" s="254"/>
      <c r="I64" s="208"/>
      <c r="J64" s="255"/>
      <c r="L64" s="254"/>
      <c r="M64" s="208"/>
      <c r="N64" s="255"/>
      <c r="P64" s="254"/>
      <c r="Q64" s="208"/>
      <c r="R64" s="255"/>
      <c r="T64" s="254"/>
      <c r="U64" s="208"/>
      <c r="V64" s="255"/>
    </row>
    <row r="65" spans="2:22" ht="20" customHeight="1" outlineLevel="1">
      <c r="B65" s="501"/>
      <c r="D65" s="229" t="s">
        <v>28</v>
      </c>
      <c r="E65" s="507" t="str">
        <f>TEXT(D25,"0.0%")&amp;"   Equity"</f>
        <v>60.0%   Equity</v>
      </c>
      <c r="F65" s="529"/>
      <c r="H65" s="256" t="s">
        <v>28</v>
      </c>
      <c r="I65" s="507" t="str">
        <f>TEXT(H25,"0.0%")&amp;"   Equity"</f>
        <v>60.0%   Equity</v>
      </c>
      <c r="J65" s="508"/>
      <c r="L65" s="256" t="s">
        <v>28</v>
      </c>
      <c r="M65" s="507" t="str">
        <f>TEXT(L25,"0.0%")&amp;"   Equity"</f>
        <v>60.0%   Equity</v>
      </c>
      <c r="N65" s="508"/>
      <c r="P65" s="256" t="s">
        <v>28</v>
      </c>
      <c r="Q65" s="507" t="str">
        <f>TEXT(P25,"0.0%")&amp;"   Equity"</f>
        <v>60.0%   Equity</v>
      </c>
      <c r="R65" s="508"/>
      <c r="T65" s="256" t="s">
        <v>28</v>
      </c>
      <c r="U65" s="507" t="str">
        <f>TEXT(T25,"0.0%")&amp;"   Equity"</f>
        <v>60.0%   Equity</v>
      </c>
      <c r="V65" s="508"/>
    </row>
    <row r="66" spans="2:22" ht="20" customHeight="1" outlineLevel="1">
      <c r="B66" s="501"/>
      <c r="D66" s="230" t="s">
        <v>28</v>
      </c>
      <c r="E66" s="509" t="str">
        <f>TEXT(D29,"0.0%")&amp;"   Fixed Income"</f>
        <v>18.0%   Fixed Income</v>
      </c>
      <c r="F66" s="530"/>
      <c r="H66" s="257" t="s">
        <v>28</v>
      </c>
      <c r="I66" s="509" t="str">
        <f>TEXT(H29,"0.0%")&amp;"   Fixed Income"</f>
        <v>18.0%   Fixed Income</v>
      </c>
      <c r="J66" s="510"/>
      <c r="L66" s="257" t="s">
        <v>28</v>
      </c>
      <c r="M66" s="509" t="str">
        <f>TEXT(L29,"0.0%")&amp;"   Fixed Income"</f>
        <v>10.0%   Fixed Income</v>
      </c>
      <c r="N66" s="510"/>
      <c r="P66" s="257" t="s">
        <v>28</v>
      </c>
      <c r="Q66" s="509" t="str">
        <f>TEXT(P29,"0.0%")&amp;"   Fixed Income"</f>
        <v>10.0%   Fixed Income</v>
      </c>
      <c r="R66" s="510"/>
      <c r="T66" s="257" t="s">
        <v>28</v>
      </c>
      <c r="U66" s="509" t="str">
        <f>TEXT(T29,"0.0%")&amp;"   Fixed Income"</f>
        <v>34.0%   Fixed Income</v>
      </c>
      <c r="V66" s="510"/>
    </row>
    <row r="67" spans="2:22" ht="20" customHeight="1" outlineLevel="1">
      <c r="B67" s="501"/>
      <c r="D67" s="231" t="s">
        <v>28</v>
      </c>
      <c r="E67" s="511" t="str">
        <f>TEXT(D33,"0.0%")&amp;"   Alternatives"</f>
        <v>22.0%   Alternatives</v>
      </c>
      <c r="F67" s="531"/>
      <c r="H67" s="258" t="s">
        <v>28</v>
      </c>
      <c r="I67" s="511" t="str">
        <f>TEXT(H33,"0.0%")&amp;"   Alternatives"</f>
        <v>22.0%   Alternatives</v>
      </c>
      <c r="J67" s="512"/>
      <c r="L67" s="258" t="s">
        <v>28</v>
      </c>
      <c r="M67" s="511" t="str">
        <f>TEXT(L33,"0.0%")&amp;"   Alternatives"</f>
        <v>30.0%   Alternatives</v>
      </c>
      <c r="N67" s="512"/>
      <c r="P67" s="258" t="s">
        <v>28</v>
      </c>
      <c r="Q67" s="511" t="str">
        <f>TEXT(P33,"0.0%")&amp;"   Alternatives"</f>
        <v>30.0%   Alternatives</v>
      </c>
      <c r="R67" s="512"/>
      <c r="T67" s="258" t="s">
        <v>28</v>
      </c>
      <c r="U67" s="511" t="str">
        <f>TEXT(T33,"0.0%")&amp;"   Alternatives"</f>
        <v>6.0%   Alternatives</v>
      </c>
      <c r="V67" s="512"/>
    </row>
    <row r="68" spans="2:22" ht="14" customHeight="1" outlineLevel="1">
      <c r="B68" s="501"/>
      <c r="D68" s="225"/>
      <c r="E68" s="208"/>
      <c r="F68" s="226"/>
      <c r="H68" s="254"/>
      <c r="I68" s="208"/>
      <c r="J68" s="255"/>
      <c r="L68" s="254"/>
      <c r="M68" s="208"/>
      <c r="N68" s="255"/>
      <c r="P68" s="254"/>
      <c r="Q68" s="208"/>
      <c r="R68" s="255"/>
      <c r="T68" s="254"/>
      <c r="U68" s="208"/>
      <c r="V68" s="255"/>
    </row>
    <row r="69" spans="2:22" ht="21.5" customHeight="1" outlineLevel="1">
      <c r="B69" s="501"/>
      <c r="D69" s="513" t="str">
        <f>"Exp. Return:  "&amp;TEXT(D39,"0.0%")&amp;"        "&amp;"Exp. Risk:  "&amp;TEXT(D40,"0.0%")</f>
        <v>Exp. Return:  6.4%        Exp. Risk:  10.4%</v>
      </c>
      <c r="E69" s="514"/>
      <c r="F69" s="515"/>
      <c r="H69" s="516" t="str">
        <f>"Exp. Return:  "&amp;TEXT(H39,"0.0%")&amp;"        "&amp;"Exp. Risk:  "&amp;TEXT(H40,"0.0%")</f>
        <v>Exp. Return:  6.4%        Exp. Risk:  10.4%</v>
      </c>
      <c r="I69" s="514"/>
      <c r="J69" s="517"/>
      <c r="L69" s="516" t="str">
        <f>"Exp. Return:  "&amp;TEXT(L39,"0.0%")&amp;"        "&amp;"Exp. Risk:  "&amp;TEXT(L40,"0.0%")</f>
        <v>Exp. Return:  7.0%        Exp. Risk:  10.8%</v>
      </c>
      <c r="M69" s="514"/>
      <c r="N69" s="517"/>
      <c r="P69" s="516" t="str">
        <f>"Exp. Return:  "&amp;TEXT(P39,"0.0%")&amp;"        "&amp;"Exp. Risk:  "&amp;TEXT(P40,"0.0%")</f>
        <v>Exp. Return:  6.6%        Exp. Risk:  10.4%</v>
      </c>
      <c r="Q69" s="514"/>
      <c r="R69" s="517"/>
      <c r="T69" s="516" t="str">
        <f>"Exp. Return:  "&amp;TEXT(T39,"0.0%")&amp;"        "&amp;"Exp. Risk:  "&amp;TEXT(T40,"0.0%")</f>
        <v>Exp. Return:  5.7%        Exp. Risk:  10.0%</v>
      </c>
      <c r="U69" s="514"/>
      <c r="V69" s="517"/>
    </row>
    <row r="70" spans="2:22" ht="17.75" customHeight="1" outlineLevel="1">
      <c r="B70" s="501"/>
      <c r="D70" s="232"/>
      <c r="E70" s="211"/>
      <c r="F70" s="233"/>
      <c r="H70" s="254"/>
      <c r="I70" s="208"/>
      <c r="J70" s="255"/>
      <c r="L70" s="254"/>
      <c r="M70" s="208"/>
      <c r="N70" s="255"/>
      <c r="P70" s="254"/>
      <c r="Q70" s="208"/>
      <c r="R70" s="255"/>
      <c r="T70" s="254"/>
      <c r="U70" s="208"/>
      <c r="V70" s="255"/>
    </row>
    <row r="71" spans="2:22" ht="14" customHeight="1">
      <c r="B71" s="14"/>
      <c r="D71" s="223"/>
      <c r="F71" s="224"/>
      <c r="H71" s="252"/>
      <c r="J71" s="253"/>
      <c r="L71" s="252"/>
      <c r="N71" s="253"/>
      <c r="P71" s="252"/>
      <c r="R71" s="253"/>
      <c r="T71" s="252"/>
      <c r="V71" s="253"/>
    </row>
    <row r="72" spans="2:22" ht="14" customHeight="1">
      <c r="B72" s="503" t="s">
        <v>29</v>
      </c>
      <c r="D72" s="234"/>
      <c r="E72" s="158"/>
      <c r="F72" s="235"/>
      <c r="H72" s="259"/>
      <c r="I72" s="158"/>
      <c r="J72" s="260"/>
      <c r="L72" s="259"/>
      <c r="M72" s="158"/>
      <c r="N72" s="260"/>
      <c r="P72" s="259"/>
      <c r="Q72" s="158"/>
      <c r="R72" s="260"/>
      <c r="T72" s="259"/>
      <c r="U72" s="158"/>
      <c r="V72" s="260"/>
    </row>
    <row r="73" spans="2:22" ht="14" customHeight="1">
      <c r="B73" s="503"/>
      <c r="D73" s="234"/>
      <c r="E73" s="158"/>
      <c r="F73" s="235"/>
      <c r="H73" s="259"/>
      <c r="I73" s="158"/>
      <c r="J73" s="260"/>
      <c r="L73" s="259"/>
      <c r="M73" s="158"/>
      <c r="N73" s="260"/>
      <c r="P73" s="259"/>
      <c r="Q73" s="158"/>
      <c r="R73" s="260"/>
      <c r="T73" s="259"/>
      <c r="U73" s="158"/>
      <c r="V73" s="260"/>
    </row>
    <row r="74" spans="2:22" ht="14" customHeight="1">
      <c r="B74" s="503"/>
      <c r="D74" s="234"/>
      <c r="E74" s="158"/>
      <c r="F74" s="235"/>
      <c r="H74" s="259"/>
      <c r="I74" s="158"/>
      <c r="J74" s="260"/>
      <c r="L74" s="259"/>
      <c r="M74" s="158"/>
      <c r="N74" s="260"/>
      <c r="P74" s="259"/>
      <c r="Q74" s="158"/>
      <c r="R74" s="260"/>
      <c r="T74" s="259"/>
      <c r="U74" s="158"/>
      <c r="V74" s="260"/>
    </row>
    <row r="75" spans="2:22" ht="14" customHeight="1">
      <c r="B75" s="503"/>
      <c r="D75" s="234"/>
      <c r="E75" s="158"/>
      <c r="F75" s="235"/>
      <c r="H75" s="259"/>
      <c r="I75" s="158"/>
      <c r="J75" s="260"/>
      <c r="L75" s="259"/>
      <c r="M75" s="158"/>
      <c r="N75" s="260"/>
      <c r="P75" s="259"/>
      <c r="Q75" s="158"/>
      <c r="R75" s="260"/>
      <c r="T75" s="259"/>
      <c r="U75" s="158"/>
      <c r="V75" s="260"/>
    </row>
    <row r="76" spans="2:22" ht="14" customHeight="1">
      <c r="B76" s="503"/>
      <c r="D76" s="234"/>
      <c r="E76" s="158"/>
      <c r="F76" s="235"/>
      <c r="H76" s="259"/>
      <c r="I76" s="158"/>
      <c r="J76" s="260"/>
      <c r="L76" s="259"/>
      <c r="M76" s="158"/>
      <c r="N76" s="260"/>
      <c r="P76" s="259"/>
      <c r="Q76" s="158"/>
      <c r="R76" s="260"/>
      <c r="T76" s="259"/>
      <c r="U76" s="158"/>
      <c r="V76" s="260"/>
    </row>
    <row r="77" spans="2:22" ht="14" customHeight="1">
      <c r="B77" s="503"/>
      <c r="D77" s="234"/>
      <c r="E77" s="158"/>
      <c r="F77" s="235"/>
      <c r="H77" s="259"/>
      <c r="I77" s="158"/>
      <c r="J77" s="260"/>
      <c r="L77" s="259"/>
      <c r="M77" s="158"/>
      <c r="N77" s="260"/>
      <c r="P77" s="259"/>
      <c r="Q77" s="158"/>
      <c r="R77" s="260"/>
      <c r="T77" s="259"/>
      <c r="U77" s="158"/>
      <c r="V77" s="260"/>
    </row>
    <row r="78" spans="2:22" ht="14" customHeight="1">
      <c r="B78" s="503"/>
      <c r="D78" s="234"/>
      <c r="E78" s="158"/>
      <c r="F78" s="235"/>
      <c r="H78" s="259"/>
      <c r="I78" s="158"/>
      <c r="J78" s="260"/>
      <c r="L78" s="259"/>
      <c r="M78" s="158"/>
      <c r="N78" s="260"/>
      <c r="P78" s="259"/>
      <c r="Q78" s="158"/>
      <c r="R78" s="260"/>
      <c r="T78" s="259"/>
      <c r="U78" s="158"/>
      <c r="V78" s="260"/>
    </row>
    <row r="79" spans="2:22" ht="14" customHeight="1">
      <c r="B79" s="503"/>
      <c r="D79" s="234"/>
      <c r="E79" s="158"/>
      <c r="F79" s="235"/>
      <c r="H79" s="259"/>
      <c r="I79" s="158"/>
      <c r="J79" s="260"/>
      <c r="L79" s="259"/>
      <c r="M79" s="158"/>
      <c r="N79" s="260"/>
      <c r="P79" s="259"/>
      <c r="Q79" s="158"/>
      <c r="R79" s="260"/>
      <c r="T79" s="259"/>
      <c r="U79" s="158"/>
      <c r="V79" s="260"/>
    </row>
    <row r="80" spans="2:22" ht="14" customHeight="1">
      <c r="B80" s="503"/>
      <c r="D80" s="234"/>
      <c r="E80" s="158"/>
      <c r="F80" s="235"/>
      <c r="H80" s="259"/>
      <c r="I80" s="158"/>
      <c r="J80" s="260"/>
      <c r="L80" s="259"/>
      <c r="M80" s="158"/>
      <c r="N80" s="260"/>
      <c r="P80" s="259"/>
      <c r="Q80" s="158"/>
      <c r="R80" s="260"/>
      <c r="T80" s="259"/>
      <c r="U80" s="158"/>
      <c r="V80" s="260"/>
    </row>
    <row r="81" spans="2:22" ht="14" customHeight="1">
      <c r="B81" s="503"/>
      <c r="D81" s="234"/>
      <c r="E81" s="158"/>
      <c r="F81" s="235"/>
      <c r="H81" s="259"/>
      <c r="I81" s="158"/>
      <c r="J81" s="260"/>
      <c r="L81" s="259"/>
      <c r="M81" s="158"/>
      <c r="N81" s="260"/>
      <c r="P81" s="259"/>
      <c r="Q81" s="158"/>
      <c r="R81" s="260"/>
      <c r="T81" s="259"/>
      <c r="U81" s="158"/>
      <c r="V81" s="260"/>
    </row>
    <row r="82" spans="2:22" ht="14" customHeight="1">
      <c r="B82" s="503"/>
      <c r="D82" s="234"/>
      <c r="E82" s="158"/>
      <c r="F82" s="235"/>
      <c r="H82" s="259"/>
      <c r="I82" s="158"/>
      <c r="J82" s="260"/>
      <c r="L82" s="259"/>
      <c r="M82" s="158"/>
      <c r="N82" s="260"/>
      <c r="P82" s="259"/>
      <c r="Q82" s="158"/>
      <c r="R82" s="260"/>
      <c r="T82" s="259"/>
      <c r="U82" s="158"/>
      <c r="V82" s="260"/>
    </row>
    <row r="83" spans="2:22" ht="14" customHeight="1">
      <c r="B83" s="503"/>
      <c r="D83" s="234"/>
      <c r="E83" s="158"/>
      <c r="F83" s="235"/>
      <c r="H83" s="259"/>
      <c r="I83" s="158"/>
      <c r="J83" s="260"/>
      <c r="L83" s="259"/>
      <c r="M83" s="158"/>
      <c r="N83" s="260"/>
      <c r="P83" s="259"/>
      <c r="Q83" s="158"/>
      <c r="R83" s="260"/>
      <c r="T83" s="259"/>
      <c r="U83" s="158"/>
      <c r="V83" s="260"/>
    </row>
    <row r="84" spans="2:22" ht="14" customHeight="1">
      <c r="B84" s="503"/>
      <c r="D84" s="234"/>
      <c r="E84" s="158"/>
      <c r="F84" s="235"/>
      <c r="H84" s="259"/>
      <c r="I84" s="158"/>
      <c r="J84" s="260"/>
      <c r="L84" s="259"/>
      <c r="M84" s="158"/>
      <c r="N84" s="260"/>
      <c r="P84" s="259"/>
      <c r="Q84" s="158"/>
      <c r="R84" s="260"/>
      <c r="T84" s="259"/>
      <c r="U84" s="158"/>
      <c r="V84" s="260"/>
    </row>
    <row r="85" spans="2:22" ht="14" customHeight="1">
      <c r="B85" s="503"/>
      <c r="D85" s="234"/>
      <c r="E85" s="158"/>
      <c r="F85" s="235"/>
      <c r="H85" s="259"/>
      <c r="I85" s="158"/>
      <c r="J85" s="260"/>
      <c r="L85" s="259"/>
      <c r="M85" s="158"/>
      <c r="N85" s="260"/>
      <c r="P85" s="259"/>
      <c r="Q85" s="158"/>
      <c r="R85" s="260"/>
      <c r="T85" s="259"/>
      <c r="U85" s="158"/>
      <c r="V85" s="260"/>
    </row>
    <row r="86" spans="2:22" ht="14" customHeight="1">
      <c r="B86" s="503"/>
      <c r="D86" s="234"/>
      <c r="E86" s="158"/>
      <c r="F86" s="235"/>
      <c r="H86" s="259"/>
      <c r="I86" s="158"/>
      <c r="J86" s="260"/>
      <c r="L86" s="259"/>
      <c r="M86" s="158"/>
      <c r="N86" s="260"/>
      <c r="P86" s="259"/>
      <c r="Q86" s="158"/>
      <c r="R86" s="260"/>
      <c r="T86" s="259"/>
      <c r="U86" s="158"/>
      <c r="V86" s="260"/>
    </row>
    <row r="87" spans="2:22" ht="14" customHeight="1">
      <c r="B87" s="503"/>
      <c r="D87" s="234"/>
      <c r="E87" s="158"/>
      <c r="F87" s="235"/>
      <c r="H87" s="259"/>
      <c r="I87" s="158"/>
      <c r="J87" s="260"/>
      <c r="L87" s="259"/>
      <c r="M87" s="158"/>
      <c r="N87" s="260"/>
      <c r="P87" s="259"/>
      <c r="Q87" s="158"/>
      <c r="R87" s="260"/>
      <c r="T87" s="259"/>
      <c r="U87" s="158"/>
      <c r="V87" s="260"/>
    </row>
    <row r="88" spans="2:22" ht="14" customHeight="1">
      <c r="B88" s="503"/>
      <c r="D88" s="234"/>
      <c r="E88" s="158"/>
      <c r="F88" s="235"/>
      <c r="H88" s="259"/>
      <c r="I88" s="158"/>
      <c r="J88" s="260"/>
      <c r="L88" s="259"/>
      <c r="M88" s="158"/>
      <c r="N88" s="260"/>
      <c r="P88" s="259"/>
      <c r="Q88" s="158"/>
      <c r="R88" s="260"/>
      <c r="T88" s="259"/>
      <c r="U88" s="158"/>
      <c r="V88" s="260"/>
    </row>
    <row r="89" spans="2:22" ht="14" customHeight="1">
      <c r="B89" s="503"/>
      <c r="D89" s="234"/>
      <c r="E89" s="158"/>
      <c r="F89" s="235"/>
      <c r="H89" s="259"/>
      <c r="I89" s="158"/>
      <c r="J89" s="260"/>
      <c r="L89" s="259"/>
      <c r="M89" s="158"/>
      <c r="N89" s="260"/>
      <c r="P89" s="259"/>
      <c r="Q89" s="158"/>
      <c r="R89" s="260"/>
      <c r="T89" s="259"/>
      <c r="U89" s="158"/>
      <c r="V89" s="260"/>
    </row>
    <row r="90" spans="2:22" ht="14" customHeight="1">
      <c r="B90" s="503"/>
      <c r="D90" s="234"/>
      <c r="E90" s="158"/>
      <c r="F90" s="235"/>
      <c r="H90" s="259"/>
      <c r="I90" s="158"/>
      <c r="J90" s="260"/>
      <c r="L90" s="259"/>
      <c r="M90" s="158"/>
      <c r="N90" s="260"/>
      <c r="P90" s="259"/>
      <c r="Q90" s="158"/>
      <c r="R90" s="260"/>
      <c r="T90" s="259"/>
      <c r="U90" s="158"/>
      <c r="V90" s="260"/>
    </row>
    <row r="91" spans="2:22" ht="14" customHeight="1">
      <c r="B91" s="503"/>
      <c r="D91" s="234"/>
      <c r="E91" s="158"/>
      <c r="F91" s="235"/>
      <c r="H91" s="259"/>
      <c r="I91" s="158"/>
      <c r="J91" s="260"/>
      <c r="L91" s="259"/>
      <c r="M91" s="158"/>
      <c r="N91" s="260"/>
      <c r="P91" s="259"/>
      <c r="Q91" s="158"/>
      <c r="R91" s="260"/>
      <c r="T91" s="259"/>
      <c r="U91" s="158"/>
      <c r="V91" s="260"/>
    </row>
    <row r="92" spans="2:22" ht="13.25" customHeight="1">
      <c r="B92" s="503"/>
      <c r="D92" s="236"/>
      <c r="E92" s="212"/>
      <c r="F92" s="237"/>
      <c r="H92" s="259"/>
      <c r="I92" s="158"/>
      <c r="J92" s="260"/>
      <c r="L92" s="259"/>
      <c r="M92" s="158"/>
      <c r="N92" s="260"/>
      <c r="P92" s="259"/>
      <c r="Q92" s="158"/>
      <c r="R92" s="260"/>
      <c r="T92" s="259"/>
      <c r="U92" s="158"/>
      <c r="V92" s="260"/>
    </row>
    <row r="93" spans="2:22" ht="20" customHeight="1" outlineLevel="1">
      <c r="B93" s="503"/>
      <c r="D93" s="238" t="s">
        <v>28</v>
      </c>
      <c r="E93" s="491" t="str">
        <f>TEXT(E25,"0.0%")&amp;"   Equity"</f>
        <v>50.0%   Equity</v>
      </c>
      <c r="F93" s="502"/>
      <c r="H93" s="261" t="s">
        <v>28</v>
      </c>
      <c r="I93" s="491" t="str">
        <f>TEXT(I25,"0.0%")&amp;"   Equity"</f>
        <v>50.0%   Equity</v>
      </c>
      <c r="J93" s="492"/>
      <c r="L93" s="261" t="s">
        <v>28</v>
      </c>
      <c r="M93" s="491" t="str">
        <f>TEXT(M25,"0.0%")&amp;"   Equity"</f>
        <v>50.0%   Equity</v>
      </c>
      <c r="N93" s="492"/>
      <c r="P93" s="261" t="s">
        <v>28</v>
      </c>
      <c r="Q93" s="491" t="str">
        <f>TEXT(Q25,"0.0%")&amp;"   Equity"</f>
        <v>50.0%   Equity</v>
      </c>
      <c r="R93" s="492"/>
      <c r="T93" s="261" t="s">
        <v>28</v>
      </c>
      <c r="U93" s="491" t="str">
        <f>TEXT(U25,"0.0%")&amp;"   Equity"</f>
        <v>50.0%   Equity</v>
      </c>
      <c r="V93" s="492"/>
    </row>
    <row r="94" spans="2:22" ht="20" customHeight="1" outlineLevel="1">
      <c r="B94" s="503"/>
      <c r="D94" s="239" t="s">
        <v>28</v>
      </c>
      <c r="E94" s="498" t="str">
        <f>TEXT(E29,"0.0%")&amp;"   Fixed Income"</f>
        <v>28.0%   Fixed Income</v>
      </c>
      <c r="F94" s="499"/>
      <c r="H94" s="262" t="s">
        <v>28</v>
      </c>
      <c r="I94" s="498" t="str">
        <f>TEXT(I29,"0.0%")&amp;"   Fixed Income"</f>
        <v>28.0%   Fixed Income</v>
      </c>
      <c r="J94" s="500"/>
      <c r="L94" s="262" t="s">
        <v>28</v>
      </c>
      <c r="M94" s="498" t="str">
        <f>TEXT(M29,"0.0%")&amp;"   Fixed Income"</f>
        <v>20.0%   Fixed Income</v>
      </c>
      <c r="N94" s="500"/>
      <c r="P94" s="262" t="s">
        <v>28</v>
      </c>
      <c r="Q94" s="498" t="str">
        <f>TEXT(Q29,"0.0%")&amp;"   Fixed Income"</f>
        <v>20.0%   Fixed Income</v>
      </c>
      <c r="R94" s="500"/>
      <c r="T94" s="262" t="s">
        <v>28</v>
      </c>
      <c r="U94" s="498" t="str">
        <f>TEXT(U29,"0.0%")&amp;"   Fixed Income"</f>
        <v>44.0%   Fixed Income</v>
      </c>
      <c r="V94" s="500"/>
    </row>
    <row r="95" spans="2:22" ht="20" customHeight="1" outlineLevel="1">
      <c r="B95" s="503"/>
      <c r="D95" s="240" t="s">
        <v>28</v>
      </c>
      <c r="E95" s="493" t="str">
        <f>TEXT(E33,"0.0%")&amp;"   Alternatives"</f>
        <v>22.0%   Alternatives</v>
      </c>
      <c r="F95" s="504"/>
      <c r="H95" s="263" t="s">
        <v>28</v>
      </c>
      <c r="I95" s="493" t="str">
        <f>TEXT(I33,"0.0%")&amp;"   Alternatives"</f>
        <v>22.0%   Alternatives</v>
      </c>
      <c r="J95" s="494"/>
      <c r="L95" s="263" t="s">
        <v>28</v>
      </c>
      <c r="M95" s="493" t="str">
        <f>TEXT(M33,"0.0%")&amp;"   Alternatives"</f>
        <v>30.0%   Alternatives</v>
      </c>
      <c r="N95" s="494"/>
      <c r="P95" s="263" t="s">
        <v>28</v>
      </c>
      <c r="Q95" s="493" t="str">
        <f>TEXT(Q33,"0.0%")&amp;"   Alternatives"</f>
        <v>30.0%   Alternatives</v>
      </c>
      <c r="R95" s="494"/>
      <c r="T95" s="263" t="s">
        <v>28</v>
      </c>
      <c r="U95" s="493" t="str">
        <f>TEXT(U33,"0.0%")&amp;"   Alternatives"</f>
        <v>6.0%   Alternatives</v>
      </c>
      <c r="V95" s="494"/>
    </row>
    <row r="96" spans="2:22" ht="14" customHeight="1" outlineLevel="1">
      <c r="B96" s="503"/>
      <c r="D96" s="234"/>
      <c r="E96" s="158"/>
      <c r="F96" s="235"/>
      <c r="H96" s="259"/>
      <c r="I96" s="158"/>
      <c r="J96" s="260"/>
      <c r="L96" s="259"/>
      <c r="M96" s="158"/>
      <c r="N96" s="260"/>
      <c r="P96" s="259"/>
      <c r="Q96" s="158"/>
      <c r="R96" s="260"/>
      <c r="T96" s="259"/>
      <c r="U96" s="158"/>
      <c r="V96" s="260"/>
    </row>
    <row r="97" spans="2:22" ht="21.5" customHeight="1" outlineLevel="1">
      <c r="B97" s="503"/>
      <c r="D97" s="505" t="str">
        <f>"Exp. Return:  "&amp;TEXT(E39,"0.0%")&amp;"        "&amp;"Exp. Risk:  "&amp;TEXT(E40,"0.0%")</f>
        <v>Exp. Return:  5.9%        Exp. Risk:  8.8%</v>
      </c>
      <c r="E97" s="496"/>
      <c r="F97" s="506"/>
      <c r="H97" s="495" t="str">
        <f>"Exp. Return:  "&amp;TEXT(I39,"0.0%")&amp;"        "&amp;"Exp. Risk:  "&amp;TEXT(I40,"0.0%")</f>
        <v>Exp. Return:  5.9%        Exp. Risk:  8.8%</v>
      </c>
      <c r="I97" s="496"/>
      <c r="J97" s="497"/>
      <c r="L97" s="495" t="str">
        <f>"Exp. Return:  "&amp;TEXT(M39,"0.0%")&amp;"        "&amp;"Exp. Risk:  "&amp;TEXT(M40,"0.0%")</f>
        <v>Exp. Return:  6.3%        Exp. Risk:  9.0%</v>
      </c>
      <c r="M97" s="496"/>
      <c r="N97" s="497"/>
      <c r="P97" s="495" t="str">
        <f>"Exp. Return:  "&amp;TEXT(Q39,"0.0%")&amp;"        "&amp;"Exp. Risk:  "&amp;TEXT(Q40,"0.0%")</f>
        <v>Exp. Return:  6.0%        Exp. Risk:  8.9%</v>
      </c>
      <c r="Q97" s="496"/>
      <c r="R97" s="497"/>
      <c r="T97" s="495" t="str">
        <f>"Exp. Return:  "&amp;TEXT(U39,"0.0%")&amp;"        "&amp;"Exp. Risk:  "&amp;TEXT(U40,"0.0%")</f>
        <v>Exp. Return:  5.3%        Exp. Risk:  8.6%</v>
      </c>
      <c r="U97" s="496"/>
      <c r="V97" s="497"/>
    </row>
    <row r="98" spans="2:22" ht="17.75" customHeight="1" outlineLevel="1">
      <c r="B98" s="503"/>
      <c r="D98" s="241"/>
      <c r="E98" s="213"/>
      <c r="F98" s="242"/>
      <c r="H98" s="259"/>
      <c r="I98" s="158"/>
      <c r="J98" s="260"/>
      <c r="L98" s="259"/>
      <c r="M98" s="158"/>
      <c r="N98" s="260"/>
      <c r="P98" s="259"/>
      <c r="Q98" s="158"/>
      <c r="R98" s="260"/>
      <c r="T98" s="259"/>
      <c r="U98" s="158"/>
      <c r="V98" s="260"/>
    </row>
    <row r="99" spans="2:22" ht="14" customHeight="1">
      <c r="D99" s="223"/>
      <c r="F99" s="224"/>
      <c r="H99" s="252"/>
      <c r="J99" s="253"/>
      <c r="L99" s="252"/>
      <c r="N99" s="253"/>
      <c r="P99" s="252"/>
      <c r="R99" s="253"/>
      <c r="T99" s="252"/>
      <c r="V99" s="253"/>
    </row>
    <row r="100" spans="2:22" ht="14" customHeight="1">
      <c r="B100" s="477" t="s">
        <v>30</v>
      </c>
      <c r="D100" s="328"/>
      <c r="E100" s="329"/>
      <c r="F100" s="330"/>
      <c r="H100" s="331"/>
      <c r="I100" s="329"/>
      <c r="J100" s="332"/>
      <c r="L100" s="331"/>
      <c r="M100" s="329"/>
      <c r="N100" s="332"/>
      <c r="P100" s="331"/>
      <c r="Q100" s="329"/>
      <c r="R100" s="332"/>
      <c r="T100" s="331"/>
      <c r="U100" s="329"/>
      <c r="V100" s="332"/>
    </row>
    <row r="101" spans="2:22" ht="14" customHeight="1">
      <c r="B101" s="477"/>
      <c r="D101" s="328"/>
      <c r="E101" s="329"/>
      <c r="F101" s="330"/>
      <c r="H101" s="331"/>
      <c r="I101" s="329"/>
      <c r="J101" s="332"/>
      <c r="L101" s="331"/>
      <c r="M101" s="329"/>
      <c r="N101" s="332"/>
      <c r="P101" s="331"/>
      <c r="Q101" s="329"/>
      <c r="R101" s="332"/>
      <c r="T101" s="331"/>
      <c r="U101" s="329"/>
      <c r="V101" s="332"/>
    </row>
    <row r="102" spans="2:22" ht="14" customHeight="1">
      <c r="B102" s="477"/>
      <c r="D102" s="328"/>
      <c r="E102" s="329"/>
      <c r="F102" s="330"/>
      <c r="H102" s="331"/>
      <c r="I102" s="329"/>
      <c r="J102" s="332"/>
      <c r="L102" s="331"/>
      <c r="M102" s="329"/>
      <c r="N102" s="332"/>
      <c r="P102" s="331"/>
      <c r="Q102" s="329"/>
      <c r="R102" s="332"/>
      <c r="T102" s="331"/>
      <c r="U102" s="329"/>
      <c r="V102" s="332"/>
    </row>
    <row r="103" spans="2:22" ht="14" customHeight="1">
      <c r="B103" s="477"/>
      <c r="D103" s="328"/>
      <c r="E103" s="329"/>
      <c r="F103" s="330"/>
      <c r="H103" s="331"/>
      <c r="I103" s="329"/>
      <c r="J103" s="332"/>
      <c r="L103" s="331"/>
      <c r="M103" s="329"/>
      <c r="N103" s="332"/>
      <c r="P103" s="331"/>
      <c r="Q103" s="329"/>
      <c r="R103" s="332"/>
      <c r="T103" s="331"/>
      <c r="U103" s="329"/>
      <c r="V103" s="332"/>
    </row>
    <row r="104" spans="2:22" ht="14" customHeight="1">
      <c r="B104" s="477"/>
      <c r="D104" s="328"/>
      <c r="E104" s="329"/>
      <c r="F104" s="330"/>
      <c r="H104" s="331"/>
      <c r="I104" s="329"/>
      <c r="J104" s="332"/>
      <c r="L104" s="331"/>
      <c r="M104" s="329"/>
      <c r="N104" s="332"/>
      <c r="P104" s="331"/>
      <c r="Q104" s="329"/>
      <c r="R104" s="332"/>
      <c r="T104" s="331"/>
      <c r="U104" s="329"/>
      <c r="V104" s="332"/>
    </row>
    <row r="105" spans="2:22" ht="14" customHeight="1">
      <c r="B105" s="477"/>
      <c r="D105" s="328"/>
      <c r="E105" s="329"/>
      <c r="F105" s="330"/>
      <c r="H105" s="331"/>
      <c r="I105" s="329"/>
      <c r="J105" s="332"/>
      <c r="L105" s="331"/>
      <c r="M105" s="329"/>
      <c r="N105" s="332"/>
      <c r="P105" s="331"/>
      <c r="Q105" s="329"/>
      <c r="R105" s="332"/>
      <c r="T105" s="331"/>
      <c r="U105" s="329"/>
      <c r="V105" s="332"/>
    </row>
    <row r="106" spans="2:22" ht="14" customHeight="1">
      <c r="B106" s="477"/>
      <c r="D106" s="328"/>
      <c r="E106" s="329"/>
      <c r="F106" s="330"/>
      <c r="H106" s="331"/>
      <c r="I106" s="329"/>
      <c r="J106" s="332"/>
      <c r="L106" s="331"/>
      <c r="M106" s="329"/>
      <c r="N106" s="332"/>
      <c r="P106" s="331"/>
      <c r="Q106" s="329"/>
      <c r="R106" s="332"/>
      <c r="T106" s="331"/>
      <c r="U106" s="329"/>
      <c r="V106" s="332"/>
    </row>
    <row r="107" spans="2:22" ht="14" customHeight="1">
      <c r="B107" s="477"/>
      <c r="D107" s="328"/>
      <c r="E107" s="329"/>
      <c r="F107" s="330"/>
      <c r="H107" s="331"/>
      <c r="I107" s="329"/>
      <c r="J107" s="332"/>
      <c r="L107" s="331"/>
      <c r="M107" s="329"/>
      <c r="N107" s="332"/>
      <c r="P107" s="331"/>
      <c r="Q107" s="329"/>
      <c r="R107" s="332"/>
      <c r="T107" s="331"/>
      <c r="U107" s="329"/>
      <c r="V107" s="332"/>
    </row>
    <row r="108" spans="2:22" ht="14" customHeight="1">
      <c r="B108" s="477"/>
      <c r="D108" s="328"/>
      <c r="E108" s="329"/>
      <c r="F108" s="330"/>
      <c r="H108" s="331"/>
      <c r="I108" s="329"/>
      <c r="J108" s="332"/>
      <c r="L108" s="331"/>
      <c r="M108" s="329"/>
      <c r="N108" s="332"/>
      <c r="P108" s="331"/>
      <c r="Q108" s="329"/>
      <c r="R108" s="332"/>
      <c r="T108" s="331"/>
      <c r="U108" s="329"/>
      <c r="V108" s="332"/>
    </row>
    <row r="109" spans="2:22" ht="14" customHeight="1">
      <c r="B109" s="477"/>
      <c r="D109" s="328"/>
      <c r="E109" s="329"/>
      <c r="F109" s="330"/>
      <c r="H109" s="331"/>
      <c r="I109" s="329"/>
      <c r="J109" s="332"/>
      <c r="L109" s="331"/>
      <c r="M109" s="329"/>
      <c r="N109" s="332"/>
      <c r="P109" s="331"/>
      <c r="Q109" s="329"/>
      <c r="R109" s="332"/>
      <c r="T109" s="331"/>
      <c r="U109" s="329"/>
      <c r="V109" s="332"/>
    </row>
    <row r="110" spans="2:22" ht="14" customHeight="1">
      <c r="B110" s="477"/>
      <c r="D110" s="328"/>
      <c r="E110" s="329"/>
      <c r="F110" s="330"/>
      <c r="H110" s="331"/>
      <c r="I110" s="329"/>
      <c r="J110" s="332"/>
      <c r="L110" s="331"/>
      <c r="M110" s="329"/>
      <c r="N110" s="332"/>
      <c r="P110" s="331"/>
      <c r="Q110" s="329"/>
      <c r="R110" s="332"/>
      <c r="T110" s="331"/>
      <c r="U110" s="329"/>
      <c r="V110" s="332"/>
    </row>
    <row r="111" spans="2:22" ht="14" customHeight="1">
      <c r="B111" s="477"/>
      <c r="D111" s="328"/>
      <c r="E111" s="329"/>
      <c r="F111" s="330"/>
      <c r="H111" s="331"/>
      <c r="I111" s="329"/>
      <c r="J111" s="332"/>
      <c r="L111" s="331"/>
      <c r="M111" s="329"/>
      <c r="N111" s="332"/>
      <c r="P111" s="331"/>
      <c r="Q111" s="329"/>
      <c r="R111" s="332"/>
      <c r="T111" s="331"/>
      <c r="U111" s="329"/>
      <c r="V111" s="332"/>
    </row>
    <row r="112" spans="2:22" ht="14" customHeight="1">
      <c r="B112" s="477"/>
      <c r="D112" s="328"/>
      <c r="E112" s="329"/>
      <c r="F112" s="330"/>
      <c r="H112" s="331"/>
      <c r="I112" s="329"/>
      <c r="J112" s="332"/>
      <c r="L112" s="331"/>
      <c r="M112" s="329"/>
      <c r="N112" s="332"/>
      <c r="P112" s="331"/>
      <c r="Q112" s="329"/>
      <c r="R112" s="332"/>
      <c r="T112" s="331"/>
      <c r="U112" s="329"/>
      <c r="V112" s="332"/>
    </row>
    <row r="113" spans="2:22" ht="14" customHeight="1">
      <c r="B113" s="477"/>
      <c r="D113" s="328"/>
      <c r="E113" s="329"/>
      <c r="F113" s="330"/>
      <c r="H113" s="331"/>
      <c r="I113" s="329"/>
      <c r="J113" s="332"/>
      <c r="L113" s="331"/>
      <c r="M113" s="329"/>
      <c r="N113" s="332"/>
      <c r="P113" s="331"/>
      <c r="Q113" s="329"/>
      <c r="R113" s="332"/>
      <c r="T113" s="331"/>
      <c r="U113" s="329"/>
      <c r="V113" s="332"/>
    </row>
    <row r="114" spans="2:22" ht="14" customHeight="1">
      <c r="B114" s="477"/>
      <c r="D114" s="328"/>
      <c r="E114" s="329"/>
      <c r="F114" s="330"/>
      <c r="H114" s="331"/>
      <c r="I114" s="329"/>
      <c r="J114" s="332"/>
      <c r="L114" s="331"/>
      <c r="M114" s="329"/>
      <c r="N114" s="332"/>
      <c r="P114" s="331"/>
      <c r="Q114" s="329"/>
      <c r="R114" s="332"/>
      <c r="T114" s="331"/>
      <c r="U114" s="329"/>
      <c r="V114" s="332"/>
    </row>
    <row r="115" spans="2:22" ht="14" customHeight="1">
      <c r="B115" s="477"/>
      <c r="D115" s="328"/>
      <c r="E115" s="329"/>
      <c r="F115" s="330"/>
      <c r="H115" s="331"/>
      <c r="I115" s="329"/>
      <c r="J115" s="332"/>
      <c r="L115" s="331"/>
      <c r="M115" s="329"/>
      <c r="N115" s="332"/>
      <c r="P115" s="331"/>
      <c r="Q115" s="329"/>
      <c r="R115" s="332"/>
      <c r="T115" s="331"/>
      <c r="U115" s="329"/>
      <c r="V115" s="332"/>
    </row>
    <row r="116" spans="2:22" ht="14" customHeight="1">
      <c r="B116" s="477"/>
      <c r="D116" s="328"/>
      <c r="E116" s="329"/>
      <c r="F116" s="330"/>
      <c r="H116" s="331"/>
      <c r="I116" s="329"/>
      <c r="J116" s="332"/>
      <c r="L116" s="331"/>
      <c r="M116" s="329"/>
      <c r="N116" s="332"/>
      <c r="P116" s="331"/>
      <c r="Q116" s="329"/>
      <c r="R116" s="332"/>
      <c r="T116" s="331"/>
      <c r="U116" s="329"/>
      <c r="V116" s="332"/>
    </row>
    <row r="117" spans="2:22" ht="14" customHeight="1">
      <c r="B117" s="477"/>
      <c r="D117" s="328"/>
      <c r="E117" s="329"/>
      <c r="F117" s="330"/>
      <c r="H117" s="331"/>
      <c r="I117" s="329"/>
      <c r="J117" s="332"/>
      <c r="L117" s="331"/>
      <c r="M117" s="329"/>
      <c r="N117" s="332"/>
      <c r="P117" s="331"/>
      <c r="Q117" s="329"/>
      <c r="R117" s="332"/>
      <c r="T117" s="331"/>
      <c r="U117" s="329"/>
      <c r="V117" s="332"/>
    </row>
    <row r="118" spans="2:22" ht="14" customHeight="1">
      <c r="B118" s="477"/>
      <c r="D118" s="328"/>
      <c r="E118" s="329"/>
      <c r="F118" s="330"/>
      <c r="H118" s="331"/>
      <c r="I118" s="329"/>
      <c r="J118" s="332"/>
      <c r="L118" s="331"/>
      <c r="M118" s="329"/>
      <c r="N118" s="332"/>
      <c r="P118" s="331"/>
      <c r="Q118" s="329"/>
      <c r="R118" s="332"/>
      <c r="T118" s="331"/>
      <c r="U118" s="329"/>
      <c r="V118" s="332"/>
    </row>
    <row r="119" spans="2:22" ht="14" customHeight="1">
      <c r="B119" s="477"/>
      <c r="D119" s="328"/>
      <c r="E119" s="329"/>
      <c r="F119" s="330"/>
      <c r="H119" s="331"/>
      <c r="I119" s="329"/>
      <c r="J119" s="332"/>
      <c r="L119" s="331"/>
      <c r="M119" s="329"/>
      <c r="N119" s="332"/>
      <c r="P119" s="331"/>
      <c r="Q119" s="329"/>
      <c r="R119" s="332"/>
      <c r="T119" s="331"/>
      <c r="U119" s="329"/>
      <c r="V119" s="332"/>
    </row>
    <row r="120" spans="2:22" ht="13.25" customHeight="1">
      <c r="B120" s="477"/>
      <c r="D120" s="333"/>
      <c r="E120" s="334"/>
      <c r="F120" s="335"/>
      <c r="H120" s="331"/>
      <c r="I120" s="329"/>
      <c r="J120" s="332"/>
      <c r="L120" s="331"/>
      <c r="M120" s="329"/>
      <c r="N120" s="332"/>
      <c r="P120" s="331"/>
      <c r="Q120" s="329"/>
      <c r="R120" s="332"/>
      <c r="T120" s="331"/>
      <c r="U120" s="329"/>
      <c r="V120" s="332"/>
    </row>
    <row r="121" spans="2:22" ht="20" customHeight="1" outlineLevel="1">
      <c r="B121" s="477"/>
      <c r="D121" s="336" t="s">
        <v>28</v>
      </c>
      <c r="E121" s="486" t="str">
        <f>TEXT(F25,"0.0%")&amp;"   Equity"</f>
        <v>30.0%   Equity</v>
      </c>
      <c r="F121" s="518"/>
      <c r="H121" s="337" t="s">
        <v>28</v>
      </c>
      <c r="I121" s="486" t="str">
        <f>TEXT(J25,"0.0%")&amp;"   Equity"</f>
        <v>30.0%   Equity</v>
      </c>
      <c r="J121" s="487"/>
      <c r="L121" s="337" t="s">
        <v>28</v>
      </c>
      <c r="M121" s="486" t="str">
        <f>TEXT(N25,"0.0%")&amp;"   Equity"</f>
        <v>30.0%   Equity</v>
      </c>
      <c r="N121" s="487"/>
      <c r="P121" s="337" t="s">
        <v>28</v>
      </c>
      <c r="Q121" s="486" t="str">
        <f>TEXT(R25,"0.0%")&amp;"   Equity"</f>
        <v>30.0%   Equity</v>
      </c>
      <c r="R121" s="487"/>
      <c r="T121" s="337" t="s">
        <v>28</v>
      </c>
      <c r="U121" s="486" t="str">
        <f>TEXT(V25,"0.0%")&amp;"   Equity"</f>
        <v>30.0%   Equity</v>
      </c>
      <c r="V121" s="487"/>
    </row>
    <row r="122" spans="2:22" ht="20" customHeight="1" outlineLevel="1">
      <c r="B122" s="477"/>
      <c r="D122" s="338" t="s">
        <v>28</v>
      </c>
      <c r="E122" s="488" t="str">
        <f>TEXT(F29,"0.0%")&amp;"   Fixed Income"</f>
        <v>48.0%   Fixed Income</v>
      </c>
      <c r="F122" s="489"/>
      <c r="H122" s="339" t="s">
        <v>28</v>
      </c>
      <c r="I122" s="488" t="str">
        <f>TEXT(J29,"0.0%")&amp;"   Fixed Income"</f>
        <v>48.0%   Fixed Income</v>
      </c>
      <c r="J122" s="490"/>
      <c r="L122" s="339" t="s">
        <v>28</v>
      </c>
      <c r="M122" s="488" t="str">
        <f>TEXT(N29,"0.0%")&amp;"   Fixed Income"</f>
        <v>40.0%   Fixed Income</v>
      </c>
      <c r="N122" s="490"/>
      <c r="P122" s="339" t="s">
        <v>28</v>
      </c>
      <c r="Q122" s="488" t="str">
        <f>TEXT(R29,"0.0%")&amp;"   Fixed Income"</f>
        <v>40.0%   Fixed Income</v>
      </c>
      <c r="R122" s="490"/>
      <c r="T122" s="339" t="s">
        <v>28</v>
      </c>
      <c r="U122" s="488" t="str">
        <f>TEXT(V29,"0.0%")&amp;"   Fixed Income"</f>
        <v>64.0%   Fixed Income</v>
      </c>
      <c r="V122" s="490"/>
    </row>
    <row r="123" spans="2:22" ht="20" customHeight="1" outlineLevel="1">
      <c r="B123" s="477"/>
      <c r="D123" s="340" t="s">
        <v>28</v>
      </c>
      <c r="E123" s="479" t="str">
        <f>TEXT(F33,"0.0%")&amp;"   Alternatives"</f>
        <v>22.0%   Alternatives</v>
      </c>
      <c r="F123" s="519"/>
      <c r="H123" s="341" t="s">
        <v>28</v>
      </c>
      <c r="I123" s="479" t="str">
        <f>TEXT(J33,"0.0%")&amp;"   Alternatives"</f>
        <v>22.0%   Alternatives</v>
      </c>
      <c r="J123" s="480"/>
      <c r="L123" s="341" t="s">
        <v>28</v>
      </c>
      <c r="M123" s="479" t="str">
        <f>TEXT(N33,"0.0%")&amp;"   Alternatives"</f>
        <v>30.0%   Alternatives</v>
      </c>
      <c r="N123" s="480"/>
      <c r="P123" s="341" t="s">
        <v>28</v>
      </c>
      <c r="Q123" s="479" t="str">
        <f>TEXT(R33,"0.0%")&amp;"   Alternatives"</f>
        <v>30.0%   Alternatives</v>
      </c>
      <c r="R123" s="480"/>
      <c r="T123" s="341" t="s">
        <v>28</v>
      </c>
      <c r="U123" s="479" t="str">
        <f>TEXT(V33,"0.0%")&amp;"   Alternatives"</f>
        <v>6.0%   Alternatives</v>
      </c>
      <c r="V123" s="480"/>
    </row>
    <row r="124" spans="2:22" ht="14" customHeight="1" outlineLevel="1">
      <c r="B124" s="477"/>
      <c r="D124" s="328"/>
      <c r="E124" s="329"/>
      <c r="F124" s="330"/>
      <c r="H124" s="331"/>
      <c r="I124" s="329"/>
      <c r="J124" s="332"/>
      <c r="L124" s="331"/>
      <c r="M124" s="329"/>
      <c r="N124" s="332"/>
      <c r="P124" s="331"/>
      <c r="Q124" s="329"/>
      <c r="R124" s="332"/>
      <c r="T124" s="331"/>
      <c r="U124" s="329"/>
      <c r="V124" s="332"/>
    </row>
    <row r="125" spans="2:22" ht="21.5" customHeight="1" outlineLevel="1">
      <c r="B125" s="477"/>
      <c r="D125" s="481" t="str">
        <f>"Exp. Return:  "&amp;TEXT(F39,"0.0%")&amp;"        "&amp;"Exp. Risk:  "&amp;TEXT(F40,"0.0%")</f>
        <v>Exp. Return:  4.7%        Exp. Risk:  6.0%</v>
      </c>
      <c r="E125" s="482"/>
      <c r="F125" s="483"/>
      <c r="H125" s="484" t="str">
        <f>"Exp. Return:  "&amp;TEXT(J39,"0.0%")&amp;"        "&amp;"Exp. Risk:  "&amp;TEXT(J40,"0.0%")</f>
        <v>Exp. Return:  4.7%        Exp. Risk:  6.0%</v>
      </c>
      <c r="I125" s="482"/>
      <c r="J125" s="485"/>
      <c r="L125" s="484" t="str">
        <f>"Exp. Return:  "&amp;TEXT(N39,"0.0%")&amp;"        "&amp;"Exp. Risk:  "&amp;TEXT(N40,"0.0%")</f>
        <v>Exp. Return:  4.8%        Exp. Risk:  6.5%</v>
      </c>
      <c r="M125" s="482"/>
      <c r="N125" s="485"/>
      <c r="P125" s="484" t="str">
        <f>"Exp. Return:  "&amp;TEXT(R39,"0.0%")&amp;"        "&amp;"Exp. Risk:  "&amp;TEXT(R40,"0.0%")</f>
        <v>Exp. Return:  5.0%        Exp. Risk:  6.1%</v>
      </c>
      <c r="Q125" s="482"/>
      <c r="R125" s="485"/>
      <c r="T125" s="484" t="str">
        <f>"Exp. Return:  "&amp;TEXT(V39,"0.0%")&amp;"        "&amp;"Exp. Risk:  "&amp;TEXT(V40,"0.0%")</f>
        <v>Exp. Return:  4.2%        Exp. Risk:  5.5%</v>
      </c>
      <c r="U125" s="482"/>
      <c r="V125" s="485"/>
    </row>
    <row r="126" spans="2:22" ht="17.75" customHeight="1" outlineLevel="1" thickBot="1">
      <c r="B126" s="477"/>
      <c r="D126" s="342"/>
      <c r="E126" s="343"/>
      <c r="F126" s="344"/>
      <c r="H126" s="345"/>
      <c r="I126" s="346"/>
      <c r="J126" s="347"/>
      <c r="L126" s="345"/>
      <c r="M126" s="346"/>
      <c r="N126" s="347"/>
      <c r="P126" s="345"/>
      <c r="Q126" s="346"/>
      <c r="R126" s="347"/>
      <c r="T126" s="345"/>
      <c r="U126" s="346"/>
      <c r="V126" s="347"/>
    </row>
    <row r="127" spans="2:22" ht="14" customHeight="1"/>
    <row r="128" spans="2:22" ht="54" customHeight="1"/>
    <row r="129" spans="2:22" ht="45" hidden="1" customHeight="1" outlineLevel="1" thickBot="1">
      <c r="B129" s="478" t="s">
        <v>31</v>
      </c>
      <c r="C129" s="478"/>
      <c r="D129" s="478"/>
      <c r="E129" s="478"/>
      <c r="F129" s="478"/>
      <c r="G129" s="478"/>
      <c r="H129" s="478"/>
      <c r="I129" s="478"/>
      <c r="J129" s="478"/>
      <c r="K129" s="478"/>
      <c r="L129" s="478"/>
      <c r="M129" s="478"/>
      <c r="N129" s="478"/>
      <c r="O129" s="478"/>
      <c r="P129" s="478"/>
      <c r="Q129" s="478"/>
      <c r="R129" s="478"/>
      <c r="S129" s="478"/>
      <c r="T129" s="478"/>
      <c r="U129" s="478"/>
      <c r="V129" s="478"/>
    </row>
    <row r="130" spans="2:22" ht="22.5" hidden="1" customHeight="1" outlineLevel="1">
      <c r="B130" s="264"/>
      <c r="C130" s="264"/>
      <c r="D130" s="264"/>
      <c r="E130" s="264"/>
      <c r="F130" s="264"/>
      <c r="G130" s="264"/>
      <c r="H130" s="264"/>
      <c r="I130" s="264"/>
      <c r="J130" s="264"/>
      <c r="K130" s="264"/>
      <c r="L130" s="264"/>
      <c r="M130" s="264"/>
      <c r="N130" s="264"/>
      <c r="O130" s="264"/>
      <c r="P130" s="264"/>
      <c r="Q130" s="264"/>
      <c r="R130" s="264"/>
      <c r="S130" s="264"/>
      <c r="T130" s="264"/>
      <c r="U130" s="264"/>
      <c r="V130" s="264"/>
    </row>
    <row r="131" spans="2:22" ht="36.75" hidden="1" customHeight="1" outlineLevel="1">
      <c r="D131" s="535" t="s">
        <v>32</v>
      </c>
      <c r="E131" s="536"/>
      <c r="F131" s="536"/>
      <c r="G131" s="536"/>
      <c r="H131" s="536"/>
      <c r="I131" s="536"/>
      <c r="J131" s="537"/>
      <c r="K131" s="155"/>
      <c r="L131" s="291"/>
      <c r="M131" s="292"/>
      <c r="N131" s="293"/>
      <c r="O131" s="155"/>
      <c r="P131" s="291"/>
      <c r="Q131" s="292"/>
      <c r="R131" s="293"/>
      <c r="S131" s="155"/>
      <c r="T131" s="291"/>
      <c r="U131" s="292"/>
      <c r="V131" s="293"/>
    </row>
    <row r="132" spans="2:22" ht="36.75" hidden="1" customHeight="1" outlineLevel="1">
      <c r="B132" s="457"/>
      <c r="D132" s="455" t="s">
        <v>33</v>
      </c>
      <c r="E132" s="456" t="s">
        <v>34</v>
      </c>
      <c r="F132" s="533" t="s">
        <v>35</v>
      </c>
      <c r="G132" s="533"/>
      <c r="H132" s="533"/>
      <c r="I132" s="533"/>
      <c r="J132" s="534"/>
      <c r="K132" s="155"/>
      <c r="L132" s="294" t="s">
        <v>36</v>
      </c>
      <c r="M132" s="284" t="s">
        <v>33</v>
      </c>
      <c r="N132" s="295" t="s">
        <v>34</v>
      </c>
      <c r="O132" s="155"/>
      <c r="P132" s="294" t="s">
        <v>36</v>
      </c>
      <c r="Q132" s="284" t="s">
        <v>33</v>
      </c>
      <c r="R132" s="295" t="s">
        <v>34</v>
      </c>
      <c r="S132" s="155"/>
      <c r="T132" s="294" t="s">
        <v>36</v>
      </c>
      <c r="U132" s="284" t="s">
        <v>33</v>
      </c>
      <c r="V132" s="295" t="s">
        <v>34</v>
      </c>
    </row>
    <row r="133" spans="2:22" ht="19.25" hidden="1" customHeight="1" outlineLevel="1">
      <c r="B133" s="265" t="s">
        <v>13</v>
      </c>
      <c r="D133" s="454"/>
      <c r="E133" s="265"/>
      <c r="F133" s="538"/>
      <c r="G133" s="538"/>
      <c r="H133" s="538"/>
      <c r="I133" s="538"/>
      <c r="J133" s="539"/>
      <c r="K133" s="14"/>
      <c r="L133" s="296"/>
      <c r="M133" s="289"/>
      <c r="N133" s="297"/>
      <c r="O133" s="14"/>
      <c r="P133" s="296"/>
      <c r="Q133" s="289"/>
      <c r="R133" s="297"/>
      <c r="S133" s="14"/>
      <c r="T133" s="296"/>
      <c r="U133" s="289"/>
      <c r="V133" s="297"/>
    </row>
    <row r="134" spans="2:22" ht="19.25" hidden="1" customHeight="1" outlineLevel="1">
      <c r="B134" s="287" t="s">
        <v>14</v>
      </c>
      <c r="D134" s="458"/>
      <c r="E134" s="459"/>
      <c r="F134" s="542"/>
      <c r="G134" s="542"/>
      <c r="H134" s="542"/>
      <c r="I134" s="542"/>
      <c r="J134" s="543"/>
      <c r="K134" s="14"/>
      <c r="L134" s="298" t="str">
        <f>INDEX(SelectedAssetClass.Data!$D$7:$I$50,MATCH($B134,SelectedAssetClass.Data!$B$7:$B$50,0),MATCH($L$2,SelectedAssetClass.Data!$D$6:$I$6,0))</f>
        <v>US Stocks</v>
      </c>
      <c r="M134" s="285">
        <f ca="1">(IFERROR((INDEX(INDIRECT("'"&amp;$L$2&amp;".RawData'!$D$6:$G$125"),MATCH(L134,INDIRECT("'"&amp;$L$2&amp;".RawData'!$C$6:$C$125"),0),MATCH(M$132,INDIRECT("'"&amp;$L$2&amp;".RawData'!$D$5:$H$5"),0))),"-"))</f>
        <v>7.85E-2</v>
      </c>
      <c r="N134" s="299">
        <f ca="1">(IFERROR((INDEX(INDIRECT("'"&amp;$L$2&amp;".RawData'!$D$6:$G$125"),MATCH(L134,INDIRECT("'"&amp;$L$2&amp;".RawData'!$C$6:$C$125"),0),MATCH(N$132,INDIRECT("'"&amp;$L$2&amp;".RawData'!$D$5:$H$5"),0))),"-"))</f>
        <v>0.17</v>
      </c>
      <c r="O134" s="14"/>
      <c r="P134" s="298" t="str">
        <f>INDEX(SelectedAssetClass.Data!$D$7:$I$50,MATCH($B134,SelectedAssetClass.Data!$B$7:$B$50,0),MATCH($P$2,SelectedAssetClass.Data!$D$6:$I$6,0))</f>
        <v>All Cap</v>
      </c>
      <c r="Q134" s="285">
        <f ca="1">(IFERROR((INDEX(INDIRECT("'"&amp;$P$2&amp;".RawData'!$D$6:$G$125"),MATCH(P134,INDIRECT("'"&amp;$P$2&amp;".RawData'!$C$6:$C$125"),0),MATCH(Q$132,INDIRECT("'"&amp;$P$2&amp;".RawData'!$D$5:$H$5"),0))),"-"))</f>
        <v>5.8299999999999998E-2</v>
      </c>
      <c r="R134" s="299">
        <f ca="1">(IFERROR((INDEX(INDIRECT("'"&amp;$P$2&amp;".RawData'!$D$6:$G$125"),MATCH(P134,INDIRECT("'"&amp;$P$2&amp;".RawData'!$C$6:$C$125"),0),MATCH(R$132,INDIRECT("'"&amp;$P$2&amp;".RawData'!$D$5:$H$5"),0))),"-"))</f>
        <v>0.15390000000000001</v>
      </c>
      <c r="S134" s="14"/>
      <c r="T134" s="298" t="str">
        <f>INDEX(SelectedAssetClass.Data!$D$7:$I$50,MATCH($B134,SelectedAssetClass.Data!$B$7:$B$50,0),MATCH($T$2,SelectedAssetClass.Data!$D$6:$I$6,0))</f>
        <v>U.S. Large Cap</v>
      </c>
      <c r="U134" s="285">
        <f ca="1">(IFERROR((INDEX(INDIRECT("'"&amp;$T$2&amp;".RawData'!$D$6:$G$125"),MATCH(T134,INDIRECT("'"&amp;$T$2&amp;".RawData'!$C$6:$C$125"),0),MATCH(U$132,INDIRECT("'"&amp;$T$2&amp;".RawData'!$D$5:$H$5"),0))),"-"))</f>
        <v>5.1560685328958078E-2</v>
      </c>
      <c r="V134" s="299">
        <f ca="1">(IFERROR((INDEX(INDIRECT("'"&amp;$T$2&amp;".RawData'!$D$6:$G$125"),MATCH(T134,INDIRECT("'"&amp;$T$2&amp;".RawData'!$C$6:$C$125"),0),MATCH(V$132,INDIRECT("'"&amp;$T$2&amp;".RawData'!$D$5:$H$5"),0))),"-"))</f>
        <v>0.15016499060694716</v>
      </c>
    </row>
    <row r="135" spans="2:22" ht="19.25" hidden="1" customHeight="1" outlineLevel="1">
      <c r="B135" s="287" t="s">
        <v>15</v>
      </c>
      <c r="D135" s="458"/>
      <c r="E135" s="459"/>
      <c r="F135" s="542"/>
      <c r="G135" s="542"/>
      <c r="H135" s="542"/>
      <c r="I135" s="542"/>
      <c r="J135" s="543"/>
      <c r="K135" s="14"/>
      <c r="L135" s="298" t="str">
        <f>INDEX(SelectedAssetClass.Data!$D$7:$I$50,MATCH($B135,SelectedAssetClass.Data!$B$7:$B$50,0),MATCH($L$2,SelectedAssetClass.Data!$D$6:$I$6,0))</f>
        <v>Non-US Developed</v>
      </c>
      <c r="M135" s="285">
        <f t="shared" ref="M135:M146" ca="1" si="64">(IFERROR((INDEX(INDIRECT("'"&amp;$L$2&amp;".RawData'!$D$6:$G$125"),MATCH(L135,INDIRECT("'"&amp;$L$2&amp;".RawData'!$C$6:$C$125"),0),MATCH(M$132,INDIRECT("'"&amp;$L$2&amp;".RawData'!$D$5:$H$5"),0))),"-"))</f>
        <v>8.0199999999999994E-2</v>
      </c>
      <c r="N135" s="299">
        <f t="shared" ref="N135:N146" ca="1" si="65">(IFERROR((INDEX(INDIRECT("'"&amp;$L$2&amp;".RawData'!$D$6:$G$125"),MATCH(L135,INDIRECT("'"&amp;$L$2&amp;".RawData'!$C$6:$C$125"),0),MATCH(N$132,INDIRECT("'"&amp;$L$2&amp;".RawData'!$D$5:$H$5"),0))),"-"))</f>
        <v>0.18</v>
      </c>
      <c r="O135" s="14"/>
      <c r="P135" s="298" t="str">
        <f>INDEX(SelectedAssetClass.Data!$D$7:$I$50,MATCH($B135,SelectedAssetClass.Data!$B$7:$B$50,0),MATCH($P$2,SelectedAssetClass.Data!$D$6:$I$6,0))</f>
        <v>Int'l Developed Mkts</v>
      </c>
      <c r="Q135" s="285">
        <f t="shared" ref="Q135:Q146" ca="1" si="66">(IFERROR((INDEX(INDIRECT("'"&amp;$P$2&amp;".RawData'!$D$6:$G$125"),MATCH(P135,INDIRECT("'"&amp;$P$2&amp;".RawData'!$C$6:$C$125"),0),MATCH(Q$132,INDIRECT("'"&amp;$P$2&amp;".RawData'!$D$5:$H$5"),0))),"-"))</f>
        <v>6.6799999999999998E-2</v>
      </c>
      <c r="R135" s="299">
        <f t="shared" ref="R135:R146" ca="1" si="67">(IFERROR((INDEX(INDIRECT("'"&amp;$P$2&amp;".RawData'!$D$6:$G$125"),MATCH(P135,INDIRECT("'"&amp;$P$2&amp;".RawData'!$C$6:$C$125"),0),MATCH(R$132,INDIRECT("'"&amp;$P$2&amp;".RawData'!$D$5:$H$5"),0))),"-"))</f>
        <v>0.1666</v>
      </c>
      <c r="S135" s="14"/>
      <c r="T135" s="298" t="str">
        <f>INDEX(SelectedAssetClass.Data!$D$7:$I$50,MATCH($B135,SelectedAssetClass.Data!$B$7:$B$50,0),MATCH($T$2,SelectedAssetClass.Data!$D$6:$I$6,0))</f>
        <v>EAFE Equity</v>
      </c>
      <c r="U135" s="285">
        <f t="shared" ref="U135:U146" ca="1" si="68">(IFERROR((INDEX(INDIRECT("'"&amp;$T$2&amp;".RawData'!$D$6:$G$125"),MATCH(T135,INDIRECT("'"&amp;$T$2&amp;".RawData'!$C$6:$C$125"),0),MATCH(U$132,INDIRECT("'"&amp;$T$2&amp;".RawData'!$D$5:$H$5"),0))),"-"))</f>
        <v>7.8215903332866654E-2</v>
      </c>
      <c r="V135" s="299">
        <f t="shared" ref="V135:V146" ca="1" si="69">(IFERROR((INDEX(INDIRECT("'"&amp;$T$2&amp;".RawData'!$D$6:$G$125"),MATCH(T135,INDIRECT("'"&amp;$T$2&amp;".RawData'!$C$6:$C$125"),0),MATCH(V$132,INDIRECT("'"&amp;$T$2&amp;".RawData'!$D$5:$H$5"),0))),"-"))</f>
        <v>0.170387414843791</v>
      </c>
    </row>
    <row r="136" spans="2:22" ht="19.25" hidden="1" customHeight="1" outlineLevel="1">
      <c r="B136" s="287" t="s">
        <v>16</v>
      </c>
      <c r="D136" s="458"/>
      <c r="E136" s="459"/>
      <c r="F136" s="542"/>
      <c r="G136" s="542"/>
      <c r="H136" s="542"/>
      <c r="I136" s="542"/>
      <c r="J136" s="543"/>
      <c r="K136" s="14"/>
      <c r="L136" s="298" t="str">
        <f>INDEX(SelectedAssetClass.Data!$D$7:$I$50,MATCH($B136,SelectedAssetClass.Data!$B$7:$B$50,0),MATCH($L$2,SelectedAssetClass.Data!$D$6:$I$6,0))</f>
        <v>Emerging Markets</v>
      </c>
      <c r="M136" s="285">
        <f t="shared" ca="1" si="64"/>
        <v>0.10279999999999999</v>
      </c>
      <c r="N136" s="299">
        <f t="shared" ca="1" si="65"/>
        <v>0.02</v>
      </c>
      <c r="O136" s="14"/>
      <c r="P136" s="298" t="str">
        <f>INDEX(SelectedAssetClass.Data!$D$7:$I$50,MATCH($B136,SelectedAssetClass.Data!$B$7:$B$50,0),MATCH($P$2,SelectedAssetClass.Data!$D$6:$I$6,0))</f>
        <v>Int'l Emerging Mkts</v>
      </c>
      <c r="Q136" s="285">
        <f t="shared" ca="1" si="66"/>
        <v>7.8899999999999998E-2</v>
      </c>
      <c r="R136" s="299">
        <f t="shared" ca="1" si="67"/>
        <v>0.21729999999999999</v>
      </c>
      <c r="S136" s="14"/>
      <c r="T136" s="298" t="str">
        <f>INDEX(SelectedAssetClass.Data!$D$7:$I$50,MATCH($B136,SelectedAssetClass.Data!$B$7:$B$50,0),MATCH($T$2,SelectedAssetClass.Data!$D$6:$I$6,0))</f>
        <v>Emerging Markets Equity</v>
      </c>
      <c r="U136" s="285">
        <f t="shared" ca="1" si="68"/>
        <v>8.8562977605020965E-2</v>
      </c>
      <c r="V136" s="299">
        <f t="shared" ca="1" si="69"/>
        <v>0.20920645193004433</v>
      </c>
    </row>
    <row r="137" spans="2:22" ht="19.25" hidden="1" customHeight="1" outlineLevel="1">
      <c r="B137" s="265" t="s">
        <v>17</v>
      </c>
      <c r="D137" s="460"/>
      <c r="E137" s="461"/>
      <c r="F137" s="540"/>
      <c r="G137" s="540"/>
      <c r="H137" s="540"/>
      <c r="I137" s="540"/>
      <c r="J137" s="541"/>
      <c r="K137" s="14"/>
      <c r="L137" s="300"/>
      <c r="M137" s="290"/>
      <c r="N137" s="301"/>
      <c r="O137" s="14"/>
      <c r="P137" s="300"/>
      <c r="Q137" s="290"/>
      <c r="R137" s="301"/>
      <c r="S137" s="14"/>
      <c r="T137" s="300"/>
      <c r="U137" s="290"/>
      <c r="V137" s="301"/>
    </row>
    <row r="138" spans="2:22" ht="19.25" hidden="1" customHeight="1" outlineLevel="1">
      <c r="B138" s="287" t="s">
        <v>18</v>
      </c>
      <c r="D138" s="458"/>
      <c r="E138" s="459"/>
      <c r="F138" s="542"/>
      <c r="G138" s="542"/>
      <c r="H138" s="542"/>
      <c r="I138" s="542"/>
      <c r="J138" s="543"/>
      <c r="K138" s="14"/>
      <c r="L138" s="298" t="str">
        <f>INDEX(SelectedAssetClass.Data!$D$7:$I$50,MATCH($B138,SelectedAssetClass.Data!$B$7:$B$50,0),MATCH($L$2,SelectedAssetClass.Data!$D$6:$I$6,0))</f>
        <v>Core US Bond</v>
      </c>
      <c r="M138" s="285">
        <f t="shared" ca="1" si="64"/>
        <v>1.83E-2</v>
      </c>
      <c r="N138" s="299">
        <f t="shared" ca="1" si="65"/>
        <v>0.04</v>
      </c>
      <c r="O138" s="14"/>
      <c r="P138" s="298" t="str">
        <f>INDEX(SelectedAssetClass.Data!$D$7:$I$50,MATCH($B138,SelectedAssetClass.Data!$B$7:$B$50,0),MATCH($P$2,SelectedAssetClass.Data!$D$6:$I$6,0))</f>
        <v>Intermediate Bond</v>
      </c>
      <c r="Q138" s="285">
        <f t="shared" ca="1" si="66"/>
        <v>2.1000000000000001E-2</v>
      </c>
      <c r="R138" s="299">
        <f t="shared" ca="1" si="67"/>
        <v>3.0599999999999999E-2</v>
      </c>
      <c r="S138" s="14"/>
      <c r="T138" s="298" t="str">
        <f>INDEX(SelectedAssetClass.Data!$D$7:$I$50,MATCH($B138,SelectedAssetClass.Data!$B$7:$B$50,0),MATCH($T$2,SelectedAssetClass.Data!$D$6:$I$6,0))</f>
        <v>U.S. Aggregate Bonds</v>
      </c>
      <c r="U138" s="285">
        <f t="shared" ca="1" si="68"/>
        <v>2.6590613587835765E-2</v>
      </c>
      <c r="V138" s="299">
        <f t="shared" ca="1" si="69"/>
        <v>3.4837967902900599E-2</v>
      </c>
    </row>
    <row r="139" spans="2:22" ht="19.25" hidden="1" customHeight="1" outlineLevel="1">
      <c r="B139" s="287" t="s">
        <v>19</v>
      </c>
      <c r="D139" s="458"/>
      <c r="E139" s="459"/>
      <c r="F139" s="542"/>
      <c r="G139" s="542"/>
      <c r="H139" s="542"/>
      <c r="I139" s="542"/>
      <c r="J139" s="543"/>
      <c r="K139" s="14"/>
      <c r="L139" s="298" t="str">
        <f>INDEX(SelectedAssetClass.Data!$D$7:$I$50,MATCH($B139,SelectedAssetClass.Data!$B$7:$B$50,0),MATCH($L$2,SelectedAssetClass.Data!$D$6:$I$6,0))</f>
        <v>High Yield Bonds</v>
      </c>
      <c r="M139" s="285">
        <f t="shared" ca="1" si="64"/>
        <v>4.7100000000000003E-2</v>
      </c>
      <c r="N139" s="299">
        <f t="shared" ca="1" si="65"/>
        <v>0.11</v>
      </c>
      <c r="O139" s="14"/>
      <c r="P139" s="298" t="str">
        <f>INDEX(SelectedAssetClass.Data!$D$7:$I$50,MATCH($B139,SelectedAssetClass.Data!$B$7:$B$50,0),MATCH($P$2,SelectedAssetClass.Data!$D$6:$I$6,0))</f>
        <v>High Yield</v>
      </c>
      <c r="Q139" s="285">
        <f t="shared" ca="1" si="66"/>
        <v>3.5099999999999999E-2</v>
      </c>
      <c r="R139" s="299">
        <f t="shared" ca="1" si="67"/>
        <v>7.8E-2</v>
      </c>
      <c r="S139" s="14"/>
      <c r="T139" s="298" t="str">
        <f>INDEX(SelectedAssetClass.Data!$D$7:$I$50,MATCH($B139,SelectedAssetClass.Data!$B$7:$B$50,0),MATCH($T$2,SelectedAssetClass.Data!$D$6:$I$6,0))</f>
        <v>U.S. High Yield Bonds</v>
      </c>
      <c r="U139" s="285">
        <f t="shared" ca="1" si="68"/>
        <v>4.2239059741024043E-2</v>
      </c>
      <c r="V139" s="299">
        <f t="shared" ca="1" si="69"/>
        <v>8.2361123183373547E-2</v>
      </c>
    </row>
    <row r="140" spans="2:22" ht="19.25" hidden="1" customHeight="1" outlineLevel="1">
      <c r="B140" s="287" t="s">
        <v>20</v>
      </c>
      <c r="D140" s="458"/>
      <c r="E140" s="459"/>
      <c r="F140" s="542"/>
      <c r="G140" s="542"/>
      <c r="H140" s="542"/>
      <c r="I140" s="542"/>
      <c r="J140" s="543"/>
      <c r="K140" s="14"/>
      <c r="L140" s="298" t="str">
        <f>INDEX(SelectedAssetClass.Data!$D$7:$I$50,MATCH($B140,SelectedAssetClass.Data!$B$7:$B$50,0),MATCH($L$2,SelectedAssetClass.Data!$D$6:$I$6,0))</f>
        <v>Emerging Market Debt</v>
      </c>
      <c r="M140" s="285">
        <f t="shared" ca="1" si="64"/>
        <v>4.8000000000000001E-2</v>
      </c>
      <c r="N140" s="299">
        <f t="shared" ca="1" si="65"/>
        <v>7.0000000000000007E-2</v>
      </c>
      <c r="O140" s="14"/>
      <c r="P140" s="298" t="str">
        <f>INDEX(SelectedAssetClass.Data!$D$7:$I$50,MATCH($B140,SelectedAssetClass.Data!$B$7:$B$50,0),MATCH($P$2,SelectedAssetClass.Data!$D$6:$I$6,0))</f>
        <v>Emerging-Markets Bond</v>
      </c>
      <c r="Q140" s="285">
        <f t="shared" ca="1" si="66"/>
        <v>3.78E-2</v>
      </c>
      <c r="R140" s="299">
        <f t="shared" ca="1" si="67"/>
        <v>9.2499999999999999E-2</v>
      </c>
      <c r="S140" s="14"/>
      <c r="T140" s="298" t="str">
        <f>INDEX(SelectedAssetClass.Data!$D$7:$I$50,MATCH($B140,SelectedAssetClass.Data!$B$7:$B$50,0),MATCH($T$2,SelectedAssetClass.Data!$D$6:$I$6,0))</f>
        <v>Emerging Markets Sovereign Debt</v>
      </c>
      <c r="U140" s="285">
        <f t="shared" ca="1" si="68"/>
        <v>5.5745672935597845E-2</v>
      </c>
      <c r="V140" s="299">
        <f t="shared" ca="1" si="69"/>
        <v>8.9169760461141598E-2</v>
      </c>
    </row>
    <row r="141" spans="2:22" ht="19.25" hidden="1" customHeight="1" outlineLevel="1">
      <c r="B141" s="265" t="s">
        <v>21</v>
      </c>
      <c r="D141" s="460"/>
      <c r="E141" s="461"/>
      <c r="F141" s="540"/>
      <c r="G141" s="540"/>
      <c r="H141" s="540"/>
      <c r="I141" s="540"/>
      <c r="J141" s="541"/>
      <c r="K141" s="14"/>
      <c r="L141" s="300"/>
      <c r="M141" s="290"/>
      <c r="N141" s="301"/>
      <c r="O141" s="14"/>
      <c r="P141" s="300"/>
      <c r="Q141" s="290"/>
      <c r="R141" s="301"/>
      <c r="S141" s="14"/>
      <c r="T141" s="300"/>
      <c r="U141" s="290"/>
      <c r="V141" s="301"/>
    </row>
    <row r="142" spans="2:22" ht="19.25" hidden="1" customHeight="1" outlineLevel="1">
      <c r="B142" s="287" t="s">
        <v>22</v>
      </c>
      <c r="D142" s="458"/>
      <c r="E142" s="459"/>
      <c r="F142" s="542"/>
      <c r="G142" s="542"/>
      <c r="H142" s="542"/>
      <c r="I142" s="542"/>
      <c r="J142" s="543"/>
      <c r="K142" s="14"/>
      <c r="L142" s="298" t="str">
        <f>INDEX(SelectedAssetClass.Data!$D$7:$I$50,MATCH($B142,SelectedAssetClass.Data!$B$7:$B$50,0),MATCH($L$2,SelectedAssetClass.Data!$D$6:$I$6,0))</f>
        <v>Diversified Private Equity</v>
      </c>
      <c r="M142" s="285">
        <f t="shared" ca="1" si="64"/>
        <v>0.114</v>
      </c>
      <c r="N142" s="299">
        <f t="shared" ca="1" si="65"/>
        <v>0.2</v>
      </c>
      <c r="O142" s="14"/>
      <c r="P142" s="298" t="str">
        <f>INDEX(SelectedAssetClass.Data!$D$7:$I$50,MATCH($B142,SelectedAssetClass.Data!$B$7:$B$50,0),MATCH($P$2,SelectedAssetClass.Data!$D$6:$I$6,0))</f>
        <v>Private Equity</v>
      </c>
      <c r="Q142" s="285">
        <f t="shared" ca="1" si="66"/>
        <v>9.1899999999999996E-2</v>
      </c>
      <c r="R142" s="299">
        <f t="shared" ca="1" si="67"/>
        <v>0.14419999999999999</v>
      </c>
      <c r="S142" s="14"/>
      <c r="T142" s="298" t="str">
        <f>INDEX(SelectedAssetClass.Data!$D$7:$I$50,MATCH($B142,SelectedAssetClass.Data!$B$7:$B$50,0),MATCH($T$2,SelectedAssetClass.Data!$D$6:$I$6,0))</f>
        <v>Private Equity</v>
      </c>
      <c r="U142" s="285">
        <f t="shared" ca="1" si="68"/>
        <v>9.6567164136583519E-2</v>
      </c>
      <c r="V142" s="299">
        <f t="shared" ca="1" si="69"/>
        <v>0.1867669708185819</v>
      </c>
    </row>
    <row r="143" spans="2:22" ht="19.25" hidden="1" customHeight="1" outlineLevel="1">
      <c r="B143" s="287" t="s">
        <v>23</v>
      </c>
      <c r="D143" s="458"/>
      <c r="E143" s="459"/>
      <c r="F143" s="542"/>
      <c r="G143" s="542"/>
      <c r="H143" s="542"/>
      <c r="I143" s="542"/>
      <c r="J143" s="543"/>
      <c r="K143" s="14"/>
      <c r="L143" s="298" t="str">
        <f>INDEX(SelectedAssetClass.Data!$D$7:$I$50,MATCH($B143,SelectedAssetClass.Data!$B$7:$B$50,0),MATCH($L$2,SelectedAssetClass.Data!$D$6:$I$6,0))</f>
        <v>Private Debt (UL)</v>
      </c>
      <c r="M143" s="285">
        <f t="shared" ca="1" si="64"/>
        <v>6.5299999999999997E-2</v>
      </c>
      <c r="N143" s="299">
        <f t="shared" ca="1" si="65"/>
        <v>0.04</v>
      </c>
      <c r="O143" s="14"/>
      <c r="P143" s="298" t="str">
        <f>INDEX(SelectedAssetClass.Data!$D$7:$I$50,MATCH($B143,SelectedAssetClass.Data!$B$7:$B$50,0),MATCH($P$2,SelectedAssetClass.Data!$D$6:$I$6,0))</f>
        <v>Private Credit</v>
      </c>
      <c r="Q143" s="285">
        <f t="shared" ca="1" si="66"/>
        <v>5.0299999999999997E-2</v>
      </c>
      <c r="R143" s="299">
        <f t="shared" ca="1" si="67"/>
        <v>9.6199999999999994E-2</v>
      </c>
      <c r="S143" s="14"/>
      <c r="T143" s="298" t="str">
        <f>INDEX(SelectedAssetClass.Data!$D$7:$I$50,MATCH($B143,SelectedAssetClass.Data!$B$7:$B$50,0),MATCH($T$2,SelectedAssetClass.Data!$D$6:$I$6,0))</f>
        <v>Direct Lending</v>
      </c>
      <c r="U143" s="285">
        <f t="shared" ca="1" si="68"/>
        <v>7.7068613152117438E-2</v>
      </c>
      <c r="V143" s="299">
        <f t="shared" ca="1" si="69"/>
        <v>0.13258271661821991</v>
      </c>
    </row>
    <row r="144" spans="2:22" ht="19.25" hidden="1" customHeight="1" outlineLevel="1">
      <c r="B144" s="287" t="s">
        <v>24</v>
      </c>
      <c r="D144" s="458"/>
      <c r="E144" s="459"/>
      <c r="F144" s="542"/>
      <c r="G144" s="542"/>
      <c r="H144" s="542"/>
      <c r="I144" s="542"/>
      <c r="J144" s="543"/>
      <c r="K144" s="14"/>
      <c r="L144" s="298" t="str">
        <f>INDEX(SelectedAssetClass.Data!$D$7:$I$50,MATCH($B144,SelectedAssetClass.Data!$B$7:$B$50,0),MATCH($L$2,SelectedAssetClass.Data!$D$6:$I$6,0))</f>
        <v>Private Real Estate (UL)</v>
      </c>
      <c r="M144" s="285">
        <f t="shared" ca="1" si="64"/>
        <v>7.8299999999999995E-2</v>
      </c>
      <c r="N144" s="299">
        <f t="shared" ca="1" si="65"/>
        <v>0.15</v>
      </c>
      <c r="O144" s="14"/>
      <c r="P144" s="298" t="str">
        <f>INDEX(SelectedAssetClass.Data!$D$7:$I$50,MATCH($B144,SelectedAssetClass.Data!$B$7:$B$50,0),MATCH($P$2,SelectedAssetClass.Data!$D$6:$I$6,0))</f>
        <v>Private Real Estate</v>
      </c>
      <c r="Q144" s="285">
        <f t="shared" ca="1" si="66"/>
        <v>6.13E-2</v>
      </c>
      <c r="R144" s="299">
        <f t="shared" ca="1" si="67"/>
        <v>7.3400000000000007E-2</v>
      </c>
      <c r="S144" s="14"/>
      <c r="T144" s="298" t="str">
        <f>INDEX(SelectedAssetClass.Data!$D$7:$I$50,MATCH($B144,SelectedAssetClass.Data!$B$7:$B$50,0),MATCH($T$2,SelectedAssetClass.Data!$D$6:$I$6,0))</f>
        <v>U.S. Core Real Estate</v>
      </c>
      <c r="U144" s="285">
        <f t="shared" ca="1" si="68"/>
        <v>6.3220974253521689E-2</v>
      </c>
      <c r="V144" s="299">
        <f t="shared" ca="1" si="69"/>
        <v>0.10575638563645194</v>
      </c>
    </row>
    <row r="145" spans="2:22" ht="19.25" hidden="1" customHeight="1" outlineLevel="1">
      <c r="B145" s="287" t="s">
        <v>25</v>
      </c>
      <c r="D145" s="458"/>
      <c r="E145" s="459"/>
      <c r="F145" s="542"/>
      <c r="G145" s="542"/>
      <c r="H145" s="542"/>
      <c r="I145" s="542"/>
      <c r="J145" s="543"/>
      <c r="K145" s="14"/>
      <c r="L145" s="298" t="str">
        <f>INDEX(SelectedAssetClass.Data!$D$7:$I$50,MATCH($B145,SelectedAssetClass.Data!$B$7:$B$50,0),MATCH($L$2,SelectedAssetClass.Data!$D$6:$I$6,0))</f>
        <v>Infrastructure</v>
      </c>
      <c r="M145" s="285">
        <f t="shared" ca="1" si="64"/>
        <v>7.9699999999999993E-2</v>
      </c>
      <c r="N145" s="299">
        <f t="shared" ca="1" si="65"/>
        <v>0.12</v>
      </c>
      <c r="O145" s="14"/>
      <c r="P145" s="298" t="str">
        <f>INDEX(SelectedAssetClass.Data!$D$7:$I$50,MATCH($B145,SelectedAssetClass.Data!$B$7:$B$50,0),MATCH($P$2,SelectedAssetClass.Data!$D$6:$I$6,0))</f>
        <v>N/A</v>
      </c>
      <c r="Q145" s="285" t="str">
        <f t="shared" ca="1" si="66"/>
        <v>-</v>
      </c>
      <c r="R145" s="299" t="str">
        <f t="shared" ca="1" si="67"/>
        <v>-</v>
      </c>
      <c r="S145" s="14"/>
      <c r="T145" s="298" t="str">
        <f>INDEX(SelectedAssetClass.Data!$D$7:$I$50,MATCH($B145,SelectedAssetClass.Data!$B$7:$B$50,0),MATCH($T$2,SelectedAssetClass.Data!$D$6:$I$6,0))</f>
        <v>Global Core Infrastructure</v>
      </c>
      <c r="U145" s="285">
        <f t="shared" ca="1" si="68"/>
        <v>6.6363353272716363E-2</v>
      </c>
      <c r="V145" s="299">
        <f t="shared" ca="1" si="69"/>
        <v>0.10735662909570452</v>
      </c>
    </row>
    <row r="146" spans="2:22" ht="19.25" hidden="1" customHeight="1" outlineLevel="1">
      <c r="B146" s="288" t="s">
        <v>26</v>
      </c>
      <c r="D146" s="462"/>
      <c r="E146" s="463"/>
      <c r="F146" s="544"/>
      <c r="G146" s="544"/>
      <c r="H146" s="544"/>
      <c r="I146" s="544"/>
      <c r="J146" s="545"/>
      <c r="K146" s="14"/>
      <c r="L146" s="302" t="str">
        <f>INDEX(SelectedAssetClass.Data!$D$7:$I$50,MATCH($B146,SelectedAssetClass.Data!$B$7:$B$50,0),MATCH($L$2,SelectedAssetClass.Data!$D$6:$I$6,0))</f>
        <v>Diversified Hedge Funds</v>
      </c>
      <c r="M146" s="286">
        <f t="shared" ca="1" si="64"/>
        <v>4.2500000000000003E-2</v>
      </c>
      <c r="N146" s="303">
        <f t="shared" ca="1" si="65"/>
        <v>4.4000000000000004E-2</v>
      </c>
      <c r="O146" s="14"/>
      <c r="P146" s="302" t="str">
        <f>INDEX(SelectedAssetClass.Data!$D$7:$I$50,MATCH($B146,SelectedAssetClass.Data!$B$7:$B$50,0),MATCH($P$2,SelectedAssetClass.Data!$D$6:$I$6,0))</f>
        <v>Multi-Strategy</v>
      </c>
      <c r="Q146" s="286">
        <f t="shared" ca="1" si="66"/>
        <v>4.0800000000000003E-2</v>
      </c>
      <c r="R146" s="303">
        <f t="shared" ca="1" si="67"/>
        <v>5.2999999999999999E-2</v>
      </c>
      <c r="S146" s="14"/>
      <c r="T146" s="302" t="str">
        <f>INDEX(SelectedAssetClass.Data!$D$7:$I$50,MATCH($B146,SelectedAssetClass.Data!$B$7:$B$50,0),MATCH($T$2,SelectedAssetClass.Data!$D$6:$I$6,0))</f>
        <v>Diversified Hedge Funds</v>
      </c>
      <c r="U146" s="286">
        <f t="shared" ca="1" si="68"/>
        <v>3.8248588504564252E-2</v>
      </c>
      <c r="V146" s="303">
        <f t="shared" ca="1" si="69"/>
        <v>6.844267713291681E-2</v>
      </c>
    </row>
    <row r="147" spans="2:22" ht="13.25" hidden="1" customHeight="1" outlineLevel="1">
      <c r="D147" s="154"/>
      <c r="E147" s="154"/>
      <c r="F147" s="154"/>
    </row>
    <row r="148" spans="2:22" ht="50.25" customHeight="1" collapsed="1"/>
    <row r="149" spans="2:22" ht="45" customHeight="1" thickBot="1">
      <c r="B149" s="478" t="s">
        <v>37</v>
      </c>
      <c r="C149" s="478"/>
      <c r="D149" s="478"/>
      <c r="E149" s="478"/>
      <c r="F149" s="478"/>
      <c r="G149" s="478"/>
      <c r="H149" s="478"/>
      <c r="I149" s="478"/>
      <c r="J149" s="478"/>
      <c r="K149" s="478"/>
      <c r="L149" s="478"/>
      <c r="M149" s="478"/>
      <c r="N149" s="478"/>
      <c r="O149" s="478"/>
      <c r="P149" s="478"/>
      <c r="Q149" s="478"/>
      <c r="R149" s="478"/>
      <c r="S149" s="478"/>
      <c r="T149" s="478"/>
      <c r="U149" s="478"/>
      <c r="V149" s="478"/>
    </row>
    <row r="150" spans="2:22" ht="24.75" customHeight="1">
      <c r="B150" s="264"/>
      <c r="C150" s="264"/>
      <c r="D150" s="264"/>
      <c r="E150" s="264"/>
      <c r="F150" s="264"/>
      <c r="G150" s="264"/>
      <c r="H150" s="264"/>
      <c r="I150" s="264"/>
      <c r="J150" s="264"/>
      <c r="K150" s="264"/>
      <c r="L150" s="264"/>
      <c r="M150" s="264"/>
      <c r="N150" s="264"/>
      <c r="O150" s="264"/>
      <c r="P150" s="264"/>
      <c r="Q150" s="264"/>
      <c r="R150" s="264"/>
      <c r="S150" s="264"/>
      <c r="T150" s="264"/>
      <c r="U150" s="264"/>
      <c r="V150" s="264"/>
    </row>
    <row r="151" spans="2:22" ht="36.75" customHeight="1">
      <c r="L151" s="291"/>
      <c r="M151" s="292"/>
      <c r="N151" s="293"/>
      <c r="O151" s="155"/>
      <c r="P151" s="291"/>
      <c r="Q151" s="292"/>
      <c r="R151" s="293"/>
      <c r="S151" s="155"/>
      <c r="T151" s="291"/>
      <c r="U151" s="292"/>
      <c r="V151" s="293"/>
    </row>
    <row r="152" spans="2:22" ht="30.75" customHeight="1">
      <c r="I152" s="546"/>
      <c r="J152" s="546"/>
      <c r="L152" s="294" t="s">
        <v>38</v>
      </c>
      <c r="M152" s="284" t="s">
        <v>39</v>
      </c>
      <c r="N152" s="295" t="s">
        <v>40</v>
      </c>
      <c r="O152" s="155"/>
      <c r="P152" s="294" t="s">
        <v>38</v>
      </c>
      <c r="Q152" s="284" t="s">
        <v>39</v>
      </c>
      <c r="R152" s="295" t="s">
        <v>40</v>
      </c>
      <c r="S152" s="155"/>
      <c r="T152" s="294" t="s">
        <v>38</v>
      </c>
      <c r="U152" s="284" t="s">
        <v>39</v>
      </c>
      <c r="V152" s="295" t="s">
        <v>40</v>
      </c>
    </row>
    <row r="153" spans="2:22" ht="19.25" customHeight="1" thickBot="1">
      <c r="I153" s="58"/>
      <c r="J153" s="58"/>
      <c r="L153" s="307"/>
      <c r="M153" s="308"/>
      <c r="N153" s="309"/>
      <c r="P153" s="307"/>
      <c r="Q153" s="308"/>
      <c r="R153" s="309"/>
      <c r="T153" s="307"/>
      <c r="U153" s="308"/>
      <c r="V153" s="309"/>
    </row>
    <row r="154" spans="2:22" ht="19.25" customHeight="1">
      <c r="B154" s="440"/>
      <c r="C154" s="439"/>
      <c r="D154" s="439"/>
      <c r="E154" s="532" t="s">
        <v>3</v>
      </c>
      <c r="F154" s="532"/>
      <c r="G154" s="532"/>
      <c r="H154" s="532"/>
      <c r="I154" s="532"/>
      <c r="J154" s="532"/>
      <c r="L154" s="312" t="s">
        <v>9</v>
      </c>
      <c r="M154" s="313" t="s">
        <v>41</v>
      </c>
      <c r="N154" s="314">
        <v>1</v>
      </c>
      <c r="O154" s="304"/>
      <c r="P154" s="312" t="s">
        <v>9</v>
      </c>
      <c r="Q154" s="313" t="s">
        <v>41</v>
      </c>
      <c r="R154" s="314">
        <v>1</v>
      </c>
      <c r="S154" s="304"/>
      <c r="T154" s="312" t="s">
        <v>9</v>
      </c>
      <c r="U154" s="313" t="s">
        <v>41</v>
      </c>
      <c r="V154" s="314">
        <v>1</v>
      </c>
    </row>
    <row r="155" spans="2:22" ht="19.25" customHeight="1">
      <c r="B155" s="440"/>
      <c r="C155" s="439"/>
      <c r="D155" s="439"/>
      <c r="E155" s="532"/>
      <c r="F155" s="532"/>
      <c r="G155" s="532"/>
      <c r="H155" s="532"/>
      <c r="I155" s="532"/>
      <c r="J155" s="532"/>
      <c r="L155" s="315" t="s">
        <v>42</v>
      </c>
      <c r="M155" s="316" t="s">
        <v>43</v>
      </c>
      <c r="N155" s="317">
        <v>0.06</v>
      </c>
      <c r="O155" s="304"/>
      <c r="P155" s="315" t="s">
        <v>42</v>
      </c>
      <c r="Q155" s="316" t="s">
        <v>43</v>
      </c>
      <c r="R155" s="317">
        <v>0.06</v>
      </c>
      <c r="S155" s="304"/>
      <c r="T155" s="315" t="s">
        <v>42</v>
      </c>
      <c r="U155" s="316" t="s">
        <v>43</v>
      </c>
      <c r="V155" s="317">
        <v>0.06</v>
      </c>
    </row>
    <row r="156" spans="2:22" ht="19.25" customHeight="1">
      <c r="B156" s="440"/>
      <c r="C156" s="439"/>
      <c r="D156" s="439"/>
      <c r="E156" s="532"/>
      <c r="F156" s="532"/>
      <c r="G156" s="532"/>
      <c r="H156" s="532"/>
      <c r="I156" s="532"/>
      <c r="J156" s="532"/>
      <c r="L156" s="315" t="s">
        <v>44</v>
      </c>
      <c r="M156" s="316" t="s">
        <v>43</v>
      </c>
      <c r="N156" s="317">
        <v>0.3</v>
      </c>
      <c r="O156" s="304"/>
      <c r="P156" s="315" t="s">
        <v>44</v>
      </c>
      <c r="Q156" s="316" t="s">
        <v>43</v>
      </c>
      <c r="R156" s="317">
        <v>0.3</v>
      </c>
      <c r="S156" s="304"/>
      <c r="T156" s="315" t="s">
        <v>44</v>
      </c>
      <c r="U156" s="316" t="s">
        <v>43</v>
      </c>
      <c r="V156" s="317">
        <v>0.3</v>
      </c>
    </row>
    <row r="157" spans="2:22" ht="19.25" customHeight="1">
      <c r="B157" s="440"/>
      <c r="C157" s="439"/>
      <c r="D157" s="439"/>
      <c r="E157" s="532"/>
      <c r="F157" s="532"/>
      <c r="G157" s="532"/>
      <c r="H157" s="532"/>
      <c r="I157" s="532"/>
      <c r="J157" s="532"/>
      <c r="L157" s="315" t="s">
        <v>45</v>
      </c>
      <c r="M157" s="318" t="s">
        <v>43</v>
      </c>
      <c r="N157" s="317">
        <v>0.06</v>
      </c>
      <c r="O157" s="304"/>
      <c r="P157" s="315" t="s">
        <v>45</v>
      </c>
      <c r="Q157" s="318" t="s">
        <v>43</v>
      </c>
      <c r="R157" s="317">
        <v>0.06</v>
      </c>
      <c r="S157" s="304"/>
      <c r="T157" s="315" t="s">
        <v>45</v>
      </c>
      <c r="U157" s="318" t="s">
        <v>43</v>
      </c>
      <c r="V157" s="317">
        <v>0.06</v>
      </c>
    </row>
    <row r="158" spans="2:22" ht="19.25" customHeight="1">
      <c r="B158" s="440"/>
      <c r="C158" s="439"/>
      <c r="D158" s="439"/>
      <c r="E158" s="532"/>
      <c r="F158" s="532"/>
      <c r="G158" s="532"/>
      <c r="H158" s="532"/>
      <c r="I158" s="532"/>
      <c r="J158" s="532"/>
      <c r="L158" s="315" t="s">
        <v>46</v>
      </c>
      <c r="M158" s="316" t="s">
        <v>387</v>
      </c>
      <c r="N158" s="319">
        <v>0.6</v>
      </c>
      <c r="O158" s="304"/>
      <c r="P158" s="315" t="s">
        <v>46</v>
      </c>
      <c r="Q158" s="316" t="s">
        <v>387</v>
      </c>
      <c r="R158" s="319">
        <v>0.6</v>
      </c>
      <c r="S158" s="304"/>
      <c r="T158" s="315" t="s">
        <v>46</v>
      </c>
      <c r="U158" s="316" t="s">
        <v>387</v>
      </c>
      <c r="V158" s="319">
        <v>0.6</v>
      </c>
    </row>
    <row r="159" spans="2:22" ht="19.25" customHeight="1">
      <c r="B159" s="440"/>
      <c r="C159" s="439"/>
      <c r="D159" s="439"/>
      <c r="E159" s="532"/>
      <c r="F159" s="532"/>
      <c r="G159" s="532"/>
      <c r="H159" s="532"/>
      <c r="I159" s="532"/>
      <c r="J159" s="532"/>
      <c r="L159" s="315" t="s">
        <v>46</v>
      </c>
      <c r="M159" s="318" t="s">
        <v>43</v>
      </c>
      <c r="N159" s="317">
        <v>0.7</v>
      </c>
      <c r="O159" s="304"/>
      <c r="P159" s="315" t="s">
        <v>46</v>
      </c>
      <c r="Q159" s="318" t="s">
        <v>43</v>
      </c>
      <c r="R159" s="317">
        <v>0.7</v>
      </c>
      <c r="S159" s="304"/>
      <c r="T159" s="315" t="s">
        <v>46</v>
      </c>
      <c r="U159" s="318" t="s">
        <v>43</v>
      </c>
      <c r="V159" s="317">
        <v>0.7</v>
      </c>
    </row>
    <row r="160" spans="2:22" ht="19.25" customHeight="1">
      <c r="B160" s="440"/>
      <c r="C160" s="439"/>
      <c r="D160" s="439"/>
      <c r="E160" s="532"/>
      <c r="F160" s="532"/>
      <c r="G160" s="532"/>
      <c r="H160" s="532"/>
      <c r="I160" s="532"/>
      <c r="J160" s="532"/>
      <c r="L160" s="315" t="s">
        <v>48</v>
      </c>
      <c r="M160" s="316" t="s">
        <v>43</v>
      </c>
      <c r="N160" s="319">
        <v>0.03</v>
      </c>
      <c r="O160" s="304"/>
      <c r="P160" s="315" t="s">
        <v>48</v>
      </c>
      <c r="Q160" s="316" t="s">
        <v>43</v>
      </c>
      <c r="R160" s="319">
        <v>0.03</v>
      </c>
      <c r="S160" s="304"/>
      <c r="T160" s="315" t="s">
        <v>48</v>
      </c>
      <c r="U160" s="316" t="s">
        <v>43</v>
      </c>
      <c r="V160" s="319">
        <v>0.03</v>
      </c>
    </row>
    <row r="161" spans="2:22" ht="19.25" customHeight="1">
      <c r="B161" s="440"/>
      <c r="C161" s="439"/>
      <c r="D161" s="439"/>
      <c r="E161" s="532"/>
      <c r="F161" s="532"/>
      <c r="G161" s="532"/>
      <c r="H161" s="532"/>
      <c r="I161" s="532"/>
      <c r="J161" s="532"/>
      <c r="L161" s="315" t="s">
        <v>49</v>
      </c>
      <c r="M161" s="318" t="s">
        <v>43</v>
      </c>
      <c r="N161" s="317">
        <v>0.18</v>
      </c>
      <c r="O161" s="304"/>
      <c r="P161" s="315" t="s">
        <v>49</v>
      </c>
      <c r="Q161" s="318" t="s">
        <v>43</v>
      </c>
      <c r="R161" s="317">
        <v>0.18</v>
      </c>
      <c r="S161" s="304"/>
      <c r="T161" s="315" t="s">
        <v>49</v>
      </c>
      <c r="U161" s="318" t="s">
        <v>43</v>
      </c>
      <c r="V161" s="317">
        <v>0.18</v>
      </c>
    </row>
    <row r="162" spans="2:22" ht="19.25" customHeight="1">
      <c r="B162" s="440"/>
      <c r="C162" s="439"/>
      <c r="D162" s="439"/>
      <c r="E162" s="532"/>
      <c r="F162" s="532"/>
      <c r="G162" s="532"/>
      <c r="H162" s="532"/>
      <c r="I162" s="532"/>
      <c r="J162" s="532"/>
      <c r="L162" s="315" t="s">
        <v>50</v>
      </c>
      <c r="M162" s="316" t="s">
        <v>43</v>
      </c>
      <c r="N162" s="319">
        <v>0.06</v>
      </c>
      <c r="O162" s="304"/>
      <c r="P162" s="315" t="s">
        <v>50</v>
      </c>
      <c r="Q162" s="316" t="s">
        <v>43</v>
      </c>
      <c r="R162" s="319">
        <v>0.06</v>
      </c>
      <c r="S162" s="304"/>
      <c r="T162" s="315" t="s">
        <v>50</v>
      </c>
      <c r="U162" s="316" t="s">
        <v>43</v>
      </c>
      <c r="V162" s="319">
        <v>0.06</v>
      </c>
    </row>
    <row r="163" spans="2:22" ht="19.25" customHeight="1">
      <c r="B163" s="440"/>
      <c r="C163" s="439"/>
      <c r="D163" s="439"/>
      <c r="E163" s="532"/>
      <c r="F163" s="532"/>
      <c r="G163" s="532"/>
      <c r="H163" s="532"/>
      <c r="I163" s="532"/>
      <c r="J163" s="532"/>
      <c r="L163" s="315"/>
      <c r="M163" s="316"/>
      <c r="N163" s="317"/>
      <c r="O163" s="304"/>
      <c r="P163" s="315"/>
      <c r="Q163" s="316"/>
      <c r="R163" s="317"/>
      <c r="S163" s="304"/>
      <c r="T163" s="315"/>
      <c r="U163" s="316"/>
      <c r="V163" s="317"/>
    </row>
    <row r="164" spans="2:22" ht="19.25" customHeight="1">
      <c r="B164" s="440"/>
      <c r="C164" s="439"/>
      <c r="D164" s="439"/>
      <c r="E164" s="532"/>
      <c r="F164" s="532"/>
      <c r="G164" s="532"/>
      <c r="H164" s="532"/>
      <c r="I164" s="532"/>
      <c r="J164" s="532"/>
      <c r="L164" s="315"/>
      <c r="M164" s="318"/>
      <c r="N164" s="317"/>
      <c r="O164" s="304"/>
      <c r="P164" s="315"/>
      <c r="Q164" s="318"/>
      <c r="R164" s="317"/>
      <c r="S164" s="304"/>
      <c r="T164" s="315"/>
      <c r="U164" s="318"/>
      <c r="V164" s="317"/>
    </row>
    <row r="165" spans="2:22" ht="19.25" customHeight="1" thickBot="1">
      <c r="B165" s="440"/>
      <c r="C165" s="439"/>
      <c r="D165" s="439"/>
      <c r="E165" s="532"/>
      <c r="F165" s="532"/>
      <c r="G165" s="532"/>
      <c r="H165" s="532"/>
      <c r="I165" s="532"/>
      <c r="J165" s="532"/>
      <c r="L165" s="320"/>
      <c r="M165" s="321"/>
      <c r="N165" s="322"/>
      <c r="O165" s="304"/>
      <c r="P165" s="320"/>
      <c r="Q165" s="321"/>
      <c r="R165" s="322"/>
      <c r="S165" s="304"/>
      <c r="T165" s="320"/>
      <c r="U165" s="321"/>
      <c r="V165" s="322"/>
    </row>
    <row r="166" spans="2:22" ht="19.25" customHeight="1" thickBot="1">
      <c r="I166" s="58"/>
      <c r="J166" s="58"/>
      <c r="L166" s="310" t="s">
        <v>51</v>
      </c>
      <c r="M166" s="311"/>
      <c r="N166" s="327"/>
      <c r="O166" s="45"/>
      <c r="P166" s="310" t="s">
        <v>51</v>
      </c>
      <c r="Q166" s="311"/>
      <c r="R166" s="327"/>
      <c r="S166" s="45"/>
      <c r="T166" s="310" t="s">
        <v>51</v>
      </c>
      <c r="U166" s="311"/>
      <c r="V166" s="323"/>
    </row>
    <row r="167" spans="2:22" ht="19.25" customHeight="1">
      <c r="B167" s="440"/>
      <c r="C167" s="439"/>
      <c r="D167" s="439"/>
      <c r="E167" s="532" t="s">
        <v>52</v>
      </c>
      <c r="F167" s="532"/>
      <c r="G167" s="532"/>
      <c r="H167" s="532"/>
      <c r="I167" s="532"/>
      <c r="J167" s="532"/>
      <c r="L167" s="312" t="s">
        <v>9</v>
      </c>
      <c r="M167" s="313" t="s">
        <v>41</v>
      </c>
      <c r="N167" s="314">
        <v>1</v>
      </c>
      <c r="O167" s="304"/>
      <c r="P167" s="312" t="s">
        <v>9</v>
      </c>
      <c r="Q167" s="313" t="s">
        <v>41</v>
      </c>
      <c r="R167" s="314">
        <v>1</v>
      </c>
      <c r="S167" s="304"/>
      <c r="T167" s="312" t="s">
        <v>9</v>
      </c>
      <c r="U167" s="313" t="s">
        <v>41</v>
      </c>
      <c r="V167" s="314">
        <v>1</v>
      </c>
    </row>
    <row r="168" spans="2:22" ht="19.25" customHeight="1">
      <c r="B168" s="440"/>
      <c r="C168" s="439"/>
      <c r="D168" s="439"/>
      <c r="E168" s="532"/>
      <c r="F168" s="532"/>
      <c r="G168" s="532"/>
      <c r="H168" s="532"/>
      <c r="I168" s="532"/>
      <c r="J168" s="532"/>
      <c r="L168" s="315" t="s">
        <v>42</v>
      </c>
      <c r="M168" s="316" t="s">
        <v>43</v>
      </c>
      <c r="N168" s="317">
        <v>0.06</v>
      </c>
      <c r="O168" s="304"/>
      <c r="P168" s="315" t="s">
        <v>42</v>
      </c>
      <c r="Q168" s="316" t="s">
        <v>43</v>
      </c>
      <c r="R168" s="317">
        <v>0.06</v>
      </c>
      <c r="S168" s="304"/>
      <c r="T168" s="315" t="s">
        <v>42</v>
      </c>
      <c r="U168" s="316" t="s">
        <v>43</v>
      </c>
      <c r="V168" s="317">
        <v>0.06</v>
      </c>
    </row>
    <row r="169" spans="2:22" ht="19.25" customHeight="1">
      <c r="B169" s="440"/>
      <c r="C169" s="439"/>
      <c r="D169" s="439"/>
      <c r="E169" s="532"/>
      <c r="F169" s="532"/>
      <c r="G169" s="532"/>
      <c r="H169" s="532"/>
      <c r="I169" s="532"/>
      <c r="J169" s="532"/>
      <c r="L169" s="315" t="s">
        <v>44</v>
      </c>
      <c r="M169" s="316" t="s">
        <v>43</v>
      </c>
      <c r="N169" s="317">
        <v>0.3</v>
      </c>
      <c r="O169" s="304"/>
      <c r="P169" s="315" t="s">
        <v>44</v>
      </c>
      <c r="Q169" s="316" t="s">
        <v>43</v>
      </c>
      <c r="R169" s="317">
        <v>0.3</v>
      </c>
      <c r="S169" s="304"/>
      <c r="T169" s="315" t="s">
        <v>44</v>
      </c>
      <c r="U169" s="316" t="s">
        <v>43</v>
      </c>
      <c r="V169" s="317">
        <v>0.3</v>
      </c>
    </row>
    <row r="170" spans="2:22" ht="19.25" customHeight="1">
      <c r="B170" s="440"/>
      <c r="C170" s="439"/>
      <c r="D170" s="439"/>
      <c r="E170" s="532"/>
      <c r="F170" s="532"/>
      <c r="G170" s="532"/>
      <c r="H170" s="532"/>
      <c r="I170" s="532"/>
      <c r="J170" s="532"/>
      <c r="L170" s="315" t="s">
        <v>45</v>
      </c>
      <c r="M170" s="316" t="s">
        <v>43</v>
      </c>
      <c r="N170" s="317">
        <v>0.06</v>
      </c>
      <c r="O170" s="304"/>
      <c r="P170" s="315" t="s">
        <v>45</v>
      </c>
      <c r="Q170" s="316" t="s">
        <v>43</v>
      </c>
      <c r="R170" s="317">
        <v>0.06</v>
      </c>
      <c r="S170" s="304"/>
      <c r="T170" s="315" t="s">
        <v>45</v>
      </c>
      <c r="U170" s="316" t="s">
        <v>43</v>
      </c>
      <c r="V170" s="317">
        <v>0.06</v>
      </c>
    </row>
    <row r="171" spans="2:22" ht="19.25" customHeight="1">
      <c r="B171" s="440"/>
      <c r="C171" s="439"/>
      <c r="D171" s="439"/>
      <c r="E171" s="532"/>
      <c r="F171" s="532"/>
      <c r="G171" s="532"/>
      <c r="H171" s="532"/>
      <c r="I171" s="532"/>
      <c r="J171" s="532"/>
      <c r="L171" s="315" t="s">
        <v>46</v>
      </c>
      <c r="M171" s="318" t="s">
        <v>387</v>
      </c>
      <c r="N171" s="317">
        <v>0.5</v>
      </c>
      <c r="O171" s="304"/>
      <c r="P171" s="315" t="s">
        <v>46</v>
      </c>
      <c r="Q171" s="318" t="s">
        <v>387</v>
      </c>
      <c r="R171" s="317">
        <v>0.5</v>
      </c>
      <c r="S171" s="304"/>
      <c r="T171" s="315" t="s">
        <v>46</v>
      </c>
      <c r="U171" s="318" t="s">
        <v>387</v>
      </c>
      <c r="V171" s="317">
        <v>0.5</v>
      </c>
    </row>
    <row r="172" spans="2:22" ht="19.25" customHeight="1">
      <c r="B172" s="440"/>
      <c r="C172" s="439"/>
      <c r="D172" s="439"/>
      <c r="E172" s="532"/>
      <c r="F172" s="532"/>
      <c r="G172" s="532"/>
      <c r="H172" s="532"/>
      <c r="I172" s="532"/>
      <c r="J172" s="532"/>
      <c r="L172" s="315" t="s">
        <v>46</v>
      </c>
      <c r="M172" s="316" t="s">
        <v>43</v>
      </c>
      <c r="N172" s="319">
        <v>0.6</v>
      </c>
      <c r="O172" s="304"/>
      <c r="P172" s="315" t="s">
        <v>46</v>
      </c>
      <c r="Q172" s="316" t="s">
        <v>43</v>
      </c>
      <c r="R172" s="319">
        <v>0.6</v>
      </c>
      <c r="S172" s="304"/>
      <c r="T172" s="315" t="s">
        <v>46</v>
      </c>
      <c r="U172" s="316" t="s">
        <v>43</v>
      </c>
      <c r="V172" s="319">
        <v>0.6</v>
      </c>
    </row>
    <row r="173" spans="2:22" ht="19.25" customHeight="1">
      <c r="B173" s="440"/>
      <c r="C173" s="439"/>
      <c r="D173" s="439"/>
      <c r="E173" s="532"/>
      <c r="F173" s="532"/>
      <c r="G173" s="532"/>
      <c r="H173" s="532"/>
      <c r="I173" s="532"/>
      <c r="J173" s="532"/>
      <c r="L173" s="315" t="s">
        <v>48</v>
      </c>
      <c r="M173" s="318" t="s">
        <v>43</v>
      </c>
      <c r="N173" s="317">
        <v>0.03</v>
      </c>
      <c r="O173" s="304"/>
      <c r="P173" s="315" t="s">
        <v>48</v>
      </c>
      <c r="Q173" s="318" t="s">
        <v>43</v>
      </c>
      <c r="R173" s="317">
        <v>0.03</v>
      </c>
      <c r="S173" s="304"/>
      <c r="T173" s="315" t="s">
        <v>48</v>
      </c>
      <c r="U173" s="318" t="s">
        <v>43</v>
      </c>
      <c r="V173" s="317">
        <v>0.03</v>
      </c>
    </row>
    <row r="174" spans="2:22" ht="19.25" customHeight="1">
      <c r="B174" s="440"/>
      <c r="C174" s="439"/>
      <c r="D174" s="439"/>
      <c r="E174" s="532"/>
      <c r="F174" s="532"/>
      <c r="G174" s="532"/>
      <c r="H174" s="532"/>
      <c r="I174" s="532"/>
      <c r="J174" s="532"/>
      <c r="L174" s="315" t="s">
        <v>49</v>
      </c>
      <c r="M174" s="316" t="s">
        <v>43</v>
      </c>
      <c r="N174" s="319">
        <v>0.14000000000000001</v>
      </c>
      <c r="O174" s="304"/>
      <c r="P174" s="315" t="s">
        <v>49</v>
      </c>
      <c r="Q174" s="316" t="s">
        <v>43</v>
      </c>
      <c r="R174" s="319">
        <v>0.14000000000000001</v>
      </c>
      <c r="S174" s="304"/>
      <c r="T174" s="315" t="s">
        <v>49</v>
      </c>
      <c r="U174" s="316" t="s">
        <v>43</v>
      </c>
      <c r="V174" s="319">
        <v>0.14000000000000001</v>
      </c>
    </row>
    <row r="175" spans="2:22" ht="19.25" customHeight="1">
      <c r="B175" s="440"/>
      <c r="C175" s="439"/>
      <c r="D175" s="439"/>
      <c r="E175" s="532"/>
      <c r="F175" s="532"/>
      <c r="G175" s="532"/>
      <c r="H175" s="532"/>
      <c r="I175" s="532"/>
      <c r="J175" s="532"/>
      <c r="L175" s="315" t="s">
        <v>50</v>
      </c>
      <c r="M175" s="318" t="s">
        <v>43</v>
      </c>
      <c r="N175" s="317">
        <v>0.06</v>
      </c>
      <c r="O175" s="304"/>
      <c r="P175" s="315" t="s">
        <v>50</v>
      </c>
      <c r="Q175" s="318" t="s">
        <v>43</v>
      </c>
      <c r="R175" s="317">
        <v>0.06</v>
      </c>
      <c r="S175" s="304"/>
      <c r="T175" s="315" t="s">
        <v>50</v>
      </c>
      <c r="U175" s="318" t="s">
        <v>43</v>
      </c>
      <c r="V175" s="317">
        <v>0.06</v>
      </c>
    </row>
    <row r="176" spans="2:22" ht="19.25" customHeight="1">
      <c r="B176" s="440"/>
      <c r="C176" s="439"/>
      <c r="D176" s="439"/>
      <c r="E176" s="532"/>
      <c r="F176" s="532"/>
      <c r="G176" s="532"/>
      <c r="H176" s="532"/>
      <c r="I176" s="532"/>
      <c r="J176" s="532"/>
      <c r="L176" s="315"/>
      <c r="M176" s="316"/>
      <c r="N176" s="319"/>
      <c r="O176" s="304"/>
      <c r="P176" s="315"/>
      <c r="Q176" s="316"/>
      <c r="R176" s="319"/>
      <c r="S176" s="304"/>
      <c r="T176" s="315"/>
      <c r="U176" s="316"/>
      <c r="V176" s="319"/>
    </row>
    <row r="177" spans="2:22" ht="19.25" customHeight="1">
      <c r="B177" s="440"/>
      <c r="C177" s="439"/>
      <c r="D177" s="439"/>
      <c r="E177" s="532"/>
      <c r="F177" s="532"/>
      <c r="G177" s="532"/>
      <c r="H177" s="532"/>
      <c r="I177" s="532"/>
      <c r="J177" s="532"/>
      <c r="L177" s="315"/>
      <c r="M177" s="316"/>
      <c r="N177" s="317"/>
      <c r="O177" s="304"/>
      <c r="P177" s="315"/>
      <c r="Q177" s="316"/>
      <c r="R177" s="317"/>
      <c r="S177" s="304"/>
      <c r="T177" s="315"/>
      <c r="U177" s="316"/>
      <c r="V177" s="317"/>
    </row>
    <row r="178" spans="2:22" ht="19.25" customHeight="1" thickBot="1">
      <c r="B178" s="440"/>
      <c r="C178" s="439"/>
      <c r="D178" s="439"/>
      <c r="E178" s="532"/>
      <c r="F178" s="532"/>
      <c r="G178" s="532"/>
      <c r="H178" s="532"/>
      <c r="I178" s="532"/>
      <c r="J178" s="532"/>
      <c r="L178" s="320"/>
      <c r="M178" s="321"/>
      <c r="N178" s="322"/>
      <c r="O178" s="304"/>
      <c r="P178" s="320"/>
      <c r="Q178" s="321"/>
      <c r="R178" s="322"/>
      <c r="S178" s="304"/>
      <c r="T178" s="320"/>
      <c r="U178" s="321"/>
      <c r="V178" s="322"/>
    </row>
    <row r="179" spans="2:22" ht="19.25" customHeight="1" thickBot="1">
      <c r="I179" s="58"/>
      <c r="J179" s="58"/>
      <c r="L179" s="310" t="s">
        <v>53</v>
      </c>
      <c r="M179" s="311"/>
      <c r="N179" s="327"/>
      <c r="O179" s="45"/>
      <c r="P179" s="310" t="s">
        <v>53</v>
      </c>
      <c r="Q179" s="311"/>
      <c r="R179" s="327"/>
      <c r="S179" s="45"/>
      <c r="T179" s="310" t="s">
        <v>53</v>
      </c>
      <c r="U179" s="311"/>
      <c r="V179" s="323"/>
    </row>
    <row r="180" spans="2:22" ht="19.25" customHeight="1">
      <c r="B180" s="440"/>
      <c r="C180" s="439"/>
      <c r="D180" s="439"/>
      <c r="E180" s="532" t="s">
        <v>5</v>
      </c>
      <c r="F180" s="532"/>
      <c r="G180" s="532"/>
      <c r="H180" s="532"/>
      <c r="I180" s="532"/>
      <c r="J180" s="532"/>
      <c r="L180" s="312" t="s">
        <v>9</v>
      </c>
      <c r="M180" s="313" t="s">
        <v>41</v>
      </c>
      <c r="N180" s="314">
        <v>1</v>
      </c>
      <c r="O180" s="304"/>
      <c r="P180" s="312" t="s">
        <v>9</v>
      </c>
      <c r="Q180" s="313" t="s">
        <v>41</v>
      </c>
      <c r="R180" s="314">
        <v>1</v>
      </c>
      <c r="S180" s="304"/>
      <c r="T180" s="312" t="s">
        <v>9</v>
      </c>
      <c r="U180" s="313" t="s">
        <v>41</v>
      </c>
      <c r="V180" s="314">
        <v>1</v>
      </c>
    </row>
    <row r="181" spans="2:22" ht="19.25" customHeight="1">
      <c r="B181" s="440"/>
      <c r="C181" s="439"/>
      <c r="D181" s="439"/>
      <c r="E181" s="532"/>
      <c r="F181" s="532"/>
      <c r="G181" s="532"/>
      <c r="H181" s="532"/>
      <c r="I181" s="532"/>
      <c r="J181" s="532"/>
      <c r="L181" s="315" t="s">
        <v>42</v>
      </c>
      <c r="M181" s="316" t="s">
        <v>43</v>
      </c>
      <c r="N181" s="317">
        <v>0</v>
      </c>
      <c r="O181" s="304"/>
      <c r="P181" s="315" t="s">
        <v>42</v>
      </c>
      <c r="Q181" s="316" t="s">
        <v>43</v>
      </c>
      <c r="R181" s="317">
        <v>0</v>
      </c>
      <c r="S181" s="304"/>
      <c r="T181" s="315" t="s">
        <v>42</v>
      </c>
      <c r="U181" s="316" t="s">
        <v>43</v>
      </c>
      <c r="V181" s="317">
        <v>0</v>
      </c>
    </row>
    <row r="182" spans="2:22" ht="19.25" customHeight="1">
      <c r="B182" s="440"/>
      <c r="C182" s="439"/>
      <c r="D182" s="439"/>
      <c r="E182" s="532"/>
      <c r="F182" s="532"/>
      <c r="G182" s="532"/>
      <c r="H182" s="532"/>
      <c r="I182" s="532"/>
      <c r="J182" s="532"/>
      <c r="L182" s="315" t="s">
        <v>44</v>
      </c>
      <c r="M182" s="316" t="s">
        <v>43</v>
      </c>
      <c r="N182" s="317">
        <v>0.3</v>
      </c>
      <c r="O182" s="304"/>
      <c r="P182" s="315" t="s">
        <v>44</v>
      </c>
      <c r="Q182" s="316" t="s">
        <v>43</v>
      </c>
      <c r="R182" s="317">
        <v>0.3</v>
      </c>
      <c r="S182" s="304"/>
      <c r="T182" s="315" t="s">
        <v>44</v>
      </c>
      <c r="U182" s="316" t="s">
        <v>43</v>
      </c>
      <c r="V182" s="317">
        <v>0.3</v>
      </c>
    </row>
    <row r="183" spans="2:22" ht="19.25" customHeight="1">
      <c r="B183" s="440"/>
      <c r="C183" s="439"/>
      <c r="D183" s="439"/>
      <c r="E183" s="532"/>
      <c r="F183" s="532"/>
      <c r="G183" s="532"/>
      <c r="H183" s="532"/>
      <c r="I183" s="532"/>
      <c r="J183" s="532"/>
      <c r="L183" s="315" t="s">
        <v>45</v>
      </c>
      <c r="M183" s="316" t="s">
        <v>43</v>
      </c>
      <c r="N183" s="317">
        <v>0.06</v>
      </c>
      <c r="O183" s="304"/>
      <c r="P183" s="315" t="s">
        <v>45</v>
      </c>
      <c r="Q183" s="316" t="s">
        <v>43</v>
      </c>
      <c r="R183" s="317">
        <v>0.06</v>
      </c>
      <c r="S183" s="304"/>
      <c r="T183" s="315" t="s">
        <v>45</v>
      </c>
      <c r="U183" s="316" t="s">
        <v>43</v>
      </c>
      <c r="V183" s="317">
        <v>0.06</v>
      </c>
    </row>
    <row r="184" spans="2:22" ht="19.25" customHeight="1">
      <c r="B184" s="440"/>
      <c r="C184" s="439"/>
      <c r="D184" s="439"/>
      <c r="E184" s="532"/>
      <c r="F184" s="532"/>
      <c r="G184" s="532"/>
      <c r="H184" s="532"/>
      <c r="I184" s="532"/>
      <c r="J184" s="532"/>
      <c r="L184" s="312" t="s">
        <v>46</v>
      </c>
      <c r="M184" s="313" t="s">
        <v>387</v>
      </c>
      <c r="N184" s="319">
        <v>0.3</v>
      </c>
      <c r="O184" s="304"/>
      <c r="P184" s="312" t="s">
        <v>46</v>
      </c>
      <c r="Q184" s="313" t="s">
        <v>387</v>
      </c>
      <c r="R184" s="319">
        <v>0.3</v>
      </c>
      <c r="S184" s="304"/>
      <c r="T184" s="312" t="s">
        <v>46</v>
      </c>
      <c r="U184" s="313" t="s">
        <v>387</v>
      </c>
      <c r="V184" s="319">
        <v>0.3</v>
      </c>
    </row>
    <row r="185" spans="2:22" ht="19.25" customHeight="1">
      <c r="B185" s="440"/>
      <c r="C185" s="439"/>
      <c r="D185" s="439"/>
      <c r="E185" s="532"/>
      <c r="F185" s="532"/>
      <c r="G185" s="532"/>
      <c r="H185" s="532"/>
      <c r="I185" s="532"/>
      <c r="J185" s="532"/>
      <c r="L185" s="315" t="s">
        <v>46</v>
      </c>
      <c r="M185" s="318" t="s">
        <v>43</v>
      </c>
      <c r="N185" s="317">
        <v>0.4</v>
      </c>
      <c r="O185" s="304"/>
      <c r="P185" s="315" t="s">
        <v>46</v>
      </c>
      <c r="Q185" s="318" t="s">
        <v>43</v>
      </c>
      <c r="R185" s="317">
        <v>0.4</v>
      </c>
      <c r="S185" s="304"/>
      <c r="T185" s="315" t="s">
        <v>46</v>
      </c>
      <c r="U185" s="318" t="s">
        <v>43</v>
      </c>
      <c r="V185" s="317">
        <v>0.4</v>
      </c>
    </row>
    <row r="186" spans="2:22" ht="19.25" customHeight="1">
      <c r="B186" s="440"/>
      <c r="C186" s="439"/>
      <c r="D186" s="439"/>
      <c r="E186" s="532"/>
      <c r="F186" s="532"/>
      <c r="G186" s="532"/>
      <c r="H186" s="532"/>
      <c r="I186" s="532"/>
      <c r="J186" s="532"/>
      <c r="L186" s="315" t="s">
        <v>48</v>
      </c>
      <c r="M186" s="316" t="s">
        <v>41</v>
      </c>
      <c r="N186" s="319">
        <v>0</v>
      </c>
      <c r="O186" s="304"/>
      <c r="P186" s="315" t="s">
        <v>48</v>
      </c>
      <c r="Q186" s="316" t="s">
        <v>41</v>
      </c>
      <c r="R186" s="319">
        <v>0</v>
      </c>
      <c r="S186" s="304"/>
      <c r="T186" s="315" t="s">
        <v>48</v>
      </c>
      <c r="U186" s="316" t="s">
        <v>41</v>
      </c>
      <c r="V186" s="319">
        <v>0</v>
      </c>
    </row>
    <row r="187" spans="2:22" ht="19.25" customHeight="1">
      <c r="B187" s="440"/>
      <c r="C187" s="439"/>
      <c r="D187" s="439"/>
      <c r="E187" s="532"/>
      <c r="F187" s="532"/>
      <c r="G187" s="532"/>
      <c r="H187" s="532"/>
      <c r="I187" s="532"/>
      <c r="J187" s="532"/>
      <c r="L187" s="315" t="s">
        <v>49</v>
      </c>
      <c r="M187" s="318" t="s">
        <v>43</v>
      </c>
      <c r="N187" s="317">
        <v>0.12</v>
      </c>
      <c r="O187" s="304"/>
      <c r="P187" s="315" t="s">
        <v>49</v>
      </c>
      <c r="Q187" s="318" t="s">
        <v>43</v>
      </c>
      <c r="R187" s="317">
        <v>0.12</v>
      </c>
      <c r="S187" s="304"/>
      <c r="T187" s="315" t="s">
        <v>49</v>
      </c>
      <c r="U187" s="318" t="s">
        <v>43</v>
      </c>
      <c r="V187" s="317">
        <v>0.12</v>
      </c>
    </row>
    <row r="188" spans="2:22" ht="19.25" customHeight="1">
      <c r="B188" s="440"/>
      <c r="C188" s="439"/>
      <c r="D188" s="439"/>
      <c r="E188" s="532"/>
      <c r="F188" s="532"/>
      <c r="G188" s="532"/>
      <c r="H188" s="532"/>
      <c r="I188" s="532"/>
      <c r="J188" s="532"/>
      <c r="L188" s="315" t="s">
        <v>50</v>
      </c>
      <c r="M188" s="316" t="s">
        <v>43</v>
      </c>
      <c r="N188" s="319">
        <v>0.06</v>
      </c>
      <c r="O188" s="304"/>
      <c r="P188" s="315" t="s">
        <v>50</v>
      </c>
      <c r="Q188" s="316" t="s">
        <v>43</v>
      </c>
      <c r="R188" s="319">
        <v>0.06</v>
      </c>
      <c r="S188" s="304"/>
      <c r="T188" s="315" t="s">
        <v>50</v>
      </c>
      <c r="U188" s="316" t="s">
        <v>43</v>
      </c>
      <c r="V188" s="319">
        <v>0.06</v>
      </c>
    </row>
    <row r="189" spans="2:22" ht="19.25" customHeight="1">
      <c r="B189" s="440"/>
      <c r="C189" s="439"/>
      <c r="D189" s="439"/>
      <c r="E189" s="532"/>
      <c r="F189" s="532"/>
      <c r="G189" s="532"/>
      <c r="H189" s="532"/>
      <c r="I189" s="532"/>
      <c r="J189" s="532"/>
      <c r="L189" s="315"/>
      <c r="M189" s="316"/>
      <c r="N189" s="317"/>
      <c r="O189" s="304"/>
      <c r="P189" s="315"/>
      <c r="Q189" s="316"/>
      <c r="R189" s="317"/>
      <c r="S189" s="304"/>
      <c r="T189" s="315"/>
      <c r="U189" s="316"/>
      <c r="V189" s="317"/>
    </row>
    <row r="190" spans="2:22" ht="19.25" customHeight="1">
      <c r="B190" s="440"/>
      <c r="C190" s="439"/>
      <c r="D190" s="439"/>
      <c r="E190" s="532"/>
      <c r="F190" s="532"/>
      <c r="G190" s="532"/>
      <c r="H190" s="532"/>
      <c r="I190" s="532"/>
      <c r="J190" s="532"/>
      <c r="L190" s="315"/>
      <c r="M190" s="316"/>
      <c r="N190" s="317"/>
      <c r="O190" s="304"/>
      <c r="P190" s="315"/>
      <c r="Q190" s="316"/>
      <c r="R190" s="317"/>
      <c r="S190" s="304"/>
      <c r="T190" s="315"/>
      <c r="U190" s="316"/>
      <c r="V190" s="317"/>
    </row>
    <row r="191" spans="2:22" ht="19.25" customHeight="1">
      <c r="B191" s="440"/>
      <c r="C191" s="439"/>
      <c r="D191" s="439"/>
      <c r="E191" s="532"/>
      <c r="F191" s="532"/>
      <c r="G191" s="532"/>
      <c r="H191" s="532"/>
      <c r="I191" s="532"/>
      <c r="J191" s="532"/>
      <c r="L191" s="324"/>
      <c r="M191" s="325"/>
      <c r="N191" s="326"/>
      <c r="O191" s="304"/>
      <c r="P191" s="324"/>
      <c r="Q191" s="325"/>
      <c r="R191" s="326"/>
      <c r="S191" s="304"/>
      <c r="T191" s="324"/>
      <c r="U191" s="325"/>
      <c r="V191" s="326"/>
    </row>
    <row r="192" spans="2:22">
      <c r="P192" s="35"/>
      <c r="T192" s="35"/>
    </row>
    <row r="193" spans="20:20" hidden="1">
      <c r="T193" s="35"/>
    </row>
    <row r="194" spans="20:20" hidden="1">
      <c r="T194" s="35"/>
    </row>
  </sheetData>
  <mergeCells count="90">
    <mergeCell ref="F141:J141"/>
    <mergeCell ref="F139:J139"/>
    <mergeCell ref="F140:J140"/>
    <mergeCell ref="F136:J136"/>
    <mergeCell ref="E154:J165"/>
    <mergeCell ref="E167:J178"/>
    <mergeCell ref="E180:J191"/>
    <mergeCell ref="F132:J132"/>
    <mergeCell ref="D131:J131"/>
    <mergeCell ref="F133:J133"/>
    <mergeCell ref="F137:J137"/>
    <mergeCell ref="F134:J134"/>
    <mergeCell ref="F135:J135"/>
    <mergeCell ref="F138:J138"/>
    <mergeCell ref="F142:J142"/>
    <mergeCell ref="F143:J143"/>
    <mergeCell ref="F144:J144"/>
    <mergeCell ref="F145:J145"/>
    <mergeCell ref="F146:J146"/>
    <mergeCell ref="I152:J152"/>
    <mergeCell ref="B149:V149"/>
    <mergeCell ref="E121:F121"/>
    <mergeCell ref="I121:J121"/>
    <mergeCell ref="M121:N121"/>
    <mergeCell ref="E123:F123"/>
    <mergeCell ref="T2:V2"/>
    <mergeCell ref="D2:F2"/>
    <mergeCell ref="H2:J2"/>
    <mergeCell ref="L2:N2"/>
    <mergeCell ref="P2:R2"/>
    <mergeCell ref="E65:F65"/>
    <mergeCell ref="E66:F66"/>
    <mergeCell ref="E67:F67"/>
    <mergeCell ref="Q65:R65"/>
    <mergeCell ref="Q66:R66"/>
    <mergeCell ref="Q67:R67"/>
    <mergeCell ref="U65:V65"/>
    <mergeCell ref="D69:F69"/>
    <mergeCell ref="H69:J69"/>
    <mergeCell ref="L69:N69"/>
    <mergeCell ref="P69:R69"/>
    <mergeCell ref="T69:V69"/>
    <mergeCell ref="I67:J67"/>
    <mergeCell ref="M65:N65"/>
    <mergeCell ref="M66:N66"/>
    <mergeCell ref="M67:N67"/>
    <mergeCell ref="U66:V66"/>
    <mergeCell ref="U67:V67"/>
    <mergeCell ref="B44:B70"/>
    <mergeCell ref="E93:F93"/>
    <mergeCell ref="I93:J93"/>
    <mergeCell ref="M93:N93"/>
    <mergeCell ref="Q93:R93"/>
    <mergeCell ref="B72:B98"/>
    <mergeCell ref="E95:F95"/>
    <mergeCell ref="I95:J95"/>
    <mergeCell ref="M95:N95"/>
    <mergeCell ref="D97:F97"/>
    <mergeCell ref="H97:J97"/>
    <mergeCell ref="L97:N97"/>
    <mergeCell ref="P97:R97"/>
    <mergeCell ref="Q95:R95"/>
    <mergeCell ref="I65:J65"/>
    <mergeCell ref="I66:J66"/>
    <mergeCell ref="E94:F94"/>
    <mergeCell ref="I94:J94"/>
    <mergeCell ref="M94:N94"/>
    <mergeCell ref="Q94:R94"/>
    <mergeCell ref="U94:V94"/>
    <mergeCell ref="Q122:R122"/>
    <mergeCell ref="U122:V122"/>
    <mergeCell ref="U93:V93"/>
    <mergeCell ref="U95:V95"/>
    <mergeCell ref="T97:V97"/>
    <mergeCell ref="B100:B126"/>
    <mergeCell ref="B129:V129"/>
    <mergeCell ref="I123:J123"/>
    <mergeCell ref="M123:N123"/>
    <mergeCell ref="Q123:R123"/>
    <mergeCell ref="U123:V123"/>
    <mergeCell ref="D125:F125"/>
    <mergeCell ref="H125:J125"/>
    <mergeCell ref="L125:N125"/>
    <mergeCell ref="P125:R125"/>
    <mergeCell ref="T125:V125"/>
    <mergeCell ref="Q121:R121"/>
    <mergeCell ref="U121:V121"/>
    <mergeCell ref="E122:F122"/>
    <mergeCell ref="I122:J122"/>
    <mergeCell ref="M122:N122"/>
  </mergeCells>
  <printOptions horizontalCentered="1"/>
  <pageMargins left="0.15" right="0.15" top="0.3" bottom="0.3" header="0.3" footer="0.3"/>
  <pageSetup scale="43" fitToHeight="0" orientation="landscape" verticalDpi="1200" r:id="rId1"/>
  <rowBreaks count="2" manualBreakCount="2">
    <brk id="98" max="16383" man="1"/>
    <brk id="128" max="16383" man="1"/>
  </rowBreaks>
  <colBreaks count="1" manualBreakCount="1">
    <brk id="1" max="1048575" man="1"/>
  </colBreaks>
  <ignoredErrors>
    <ignoredError sqref="D3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Check Box 5">
              <controlPr defaultSize="0" autoFill="0" autoLine="0" autoPict="0">
                <anchor moveWithCells="1">
                  <from>
                    <xdr:col>9</xdr:col>
                    <xdr:colOff>330200</xdr:colOff>
                    <xdr:row>1</xdr:row>
                    <xdr:rowOff>25400</xdr:rowOff>
                  </from>
                  <to>
                    <xdr:col>10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Check Box 6">
              <controlPr defaultSize="0" autoFill="0" autoLine="0" autoPict="0">
                <anchor moveWithCells="1">
                  <from>
                    <xdr:col>9</xdr:col>
                    <xdr:colOff>330200</xdr:colOff>
                    <xdr:row>1</xdr:row>
                    <xdr:rowOff>228600</xdr:rowOff>
                  </from>
                  <to>
                    <xdr:col>10</xdr:col>
                    <xdr:colOff>0</xdr:colOff>
                    <xdr:row>1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9</xdr:col>
                    <xdr:colOff>330200</xdr:colOff>
                    <xdr:row>1</xdr:row>
                    <xdr:rowOff>444500</xdr:rowOff>
                  </from>
                  <to>
                    <xdr:col>10</xdr:col>
                    <xdr:colOff>0</xdr:colOff>
                    <xdr:row>1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34ED2-5948-418F-9FDC-7D2730E433C7}">
  <sheetPr codeName="Sheet9"/>
  <dimension ref="B2:V34"/>
  <sheetViews>
    <sheetView showGridLines="0" workbookViewId="0">
      <selection activeCell="L30" sqref="L30"/>
    </sheetView>
  </sheetViews>
  <sheetFormatPr baseColWidth="10" defaultColWidth="8.83203125" defaultRowHeight="15"/>
  <cols>
    <col min="1" max="1" width="6.6640625" customWidth="1"/>
    <col min="2" max="2" width="15.33203125" customWidth="1"/>
    <col min="3" max="3" width="17" customWidth="1"/>
    <col min="4" max="4" width="25.33203125" customWidth="1"/>
    <col min="5" max="5" width="1.33203125" customWidth="1"/>
    <col min="6" max="10" width="9.6640625" customWidth="1"/>
    <col min="11" max="11" width="1.33203125" customWidth="1"/>
    <col min="12" max="16" width="9.6640625" customWidth="1"/>
    <col min="17" max="17" width="1.33203125" customWidth="1"/>
    <col min="18" max="21" width="9.6640625" customWidth="1"/>
    <col min="22" max="22" width="10.6640625" customWidth="1"/>
  </cols>
  <sheetData>
    <row r="2" spans="2:22" ht="23.25" customHeight="1">
      <c r="B2" s="268"/>
      <c r="C2" s="268"/>
      <c r="D2" s="268"/>
      <c r="E2" s="268"/>
      <c r="F2" s="547" t="s">
        <v>3</v>
      </c>
      <c r="G2" s="547"/>
      <c r="H2" s="547"/>
      <c r="I2" s="547"/>
      <c r="J2" s="547"/>
      <c r="K2" s="59"/>
      <c r="L2" s="547" t="s">
        <v>52</v>
      </c>
      <c r="M2" s="547"/>
      <c r="N2" s="547"/>
      <c r="O2" s="547"/>
      <c r="P2" s="547"/>
      <c r="Q2" s="59"/>
      <c r="R2" s="547" t="s">
        <v>5</v>
      </c>
      <c r="S2" s="547"/>
      <c r="T2" s="547"/>
      <c r="U2" s="547"/>
      <c r="V2" s="547"/>
    </row>
    <row r="3" spans="2:22" ht="33" customHeight="1" thickBot="1">
      <c r="B3" s="271" t="s">
        <v>54</v>
      </c>
      <c r="C3" s="271" t="s">
        <v>55</v>
      </c>
      <c r="D3" s="271" t="s">
        <v>56</v>
      </c>
      <c r="E3" s="273"/>
      <c r="F3" s="272" t="s">
        <v>0</v>
      </c>
      <c r="G3" s="272" t="s">
        <v>57</v>
      </c>
      <c r="H3" s="272" t="s">
        <v>58</v>
      </c>
      <c r="I3" s="272" t="s">
        <v>59</v>
      </c>
      <c r="J3" s="272" t="s">
        <v>60</v>
      </c>
      <c r="K3" s="91"/>
      <c r="L3" s="272" t="s">
        <v>0</v>
      </c>
      <c r="M3" s="272" t="s">
        <v>57</v>
      </c>
      <c r="N3" s="272" t="s">
        <v>58</v>
      </c>
      <c r="O3" s="272" t="s">
        <v>59</v>
      </c>
      <c r="P3" s="272" t="s">
        <v>60</v>
      </c>
      <c r="Q3" s="91"/>
      <c r="R3" s="272" t="s">
        <v>0</v>
      </c>
      <c r="S3" s="272" t="s">
        <v>57</v>
      </c>
      <c r="T3" s="272" t="s">
        <v>58</v>
      </c>
      <c r="U3" s="272" t="s">
        <v>59</v>
      </c>
      <c r="V3" s="272" t="s">
        <v>60</v>
      </c>
    </row>
    <row r="4" spans="2:22">
      <c r="B4" s="548" t="s">
        <v>13</v>
      </c>
      <c r="C4" s="281" t="s">
        <v>61</v>
      </c>
      <c r="D4" s="278" t="s">
        <v>14</v>
      </c>
      <c r="F4" s="267">
        <f>INDEX('Master Summary'!$B$5:$V$15,MATCH(ChartData!$D4,_xlfn.ANCHORARRAY('Master Summary'!B$5),0),3)</f>
        <v>0.35999999999999988</v>
      </c>
      <c r="G4" s="267">
        <f>INDEX('Master Summary'!$B$5:$V$15,MATCH(ChartData!$D4,_xlfn.ANCHORARRAY('Master Summary'!B$5),0),7)</f>
        <v>0.35999999999999988</v>
      </c>
      <c r="H4" s="267">
        <f>INDEX('Master Summary'!$B$5:$V$15,MATCH(ChartData!$D4,_xlfn.ANCHORARRAY('Master Summary'!B$5),0),11)</f>
        <v>0.35999999999999988</v>
      </c>
      <c r="I4" s="267">
        <f>INDEX('Master Summary'!$B$5:$V$15,MATCH(ChartData!$D4,_xlfn.ANCHORARRAY('Master Summary'!B$5),0),15)</f>
        <v>0.35999999999999993</v>
      </c>
      <c r="J4" s="267">
        <f>INDEX('Master Summary'!$B$5:$V$15,MATCH(ChartData!$D4,_xlfn.ANCHORARRAY('Master Summary'!B$5),0),19)</f>
        <v>0.35999999999999988</v>
      </c>
      <c r="K4" s="267"/>
      <c r="L4" s="267">
        <f>INDEX('Master Summary'!$B$5:$V$15,MATCH(ChartData!$D4,_xlfn.ANCHORARRAY('Master Summary'!B$5),0),4)</f>
        <v>0.30000000000000004</v>
      </c>
      <c r="M4" s="267">
        <f>INDEX('Master Summary'!$B$5:$V$15,MATCH(ChartData!$D4,_xlfn.ANCHORARRAY('Master Summary'!B$5),0),8)</f>
        <v>0.30000000000000004</v>
      </c>
      <c r="N4" s="267">
        <f>INDEX('Master Summary'!$B$5:$V$15,MATCH(ChartData!$D4,_xlfn.ANCHORARRAY('Master Summary'!B$5),0),12)</f>
        <v>0.30000000000000004</v>
      </c>
      <c r="O4" s="267">
        <f>INDEX('Master Summary'!$B$5:$V$15,MATCH(ChartData!$D4,_xlfn.ANCHORARRAY('Master Summary'!B$5),0),16)</f>
        <v>0.3</v>
      </c>
      <c r="P4" s="267">
        <f>INDEX('Master Summary'!$B$5:$V$15,MATCH(ChartData!$D4,_xlfn.ANCHORARRAY('Master Summary'!B$5),0),20)</f>
        <v>0.3</v>
      </c>
      <c r="Q4" s="267"/>
      <c r="R4" s="267">
        <f>INDEX('Master Summary'!$B$5:$V$15,MATCH(ChartData!$D4,_xlfn.ANCHORARRAY('Master Summary'!B$5),0),5)</f>
        <v>0.18418190078606078</v>
      </c>
      <c r="S4" s="267">
        <f>INDEX('Master Summary'!$B$5:$V$15,MATCH(ChartData!$D4,_xlfn.ANCHORARRAY('Master Summary'!B$5),0),9)</f>
        <v>0.18418190078606078</v>
      </c>
      <c r="T4" s="267">
        <f>INDEX('Master Summary'!$B$5:$V$15,MATCH(ChartData!$D4,_xlfn.ANCHORARRAY('Master Summary'!B$5),0),13)</f>
        <v>0.19254570235818233</v>
      </c>
      <c r="U4" s="267">
        <f>INDEX('Master Summary'!$B$5:$V$15,MATCH(ChartData!$D4,_xlfn.ANCHORARRAY('Master Summary'!B$5),0),17)</f>
        <v>0.18</v>
      </c>
      <c r="V4" s="267">
        <f>INDEX('Master Summary'!$B$5:$V$15,MATCH(ChartData!$D4,_xlfn.ANCHORARRAY('Master Summary'!B$5),0),21)</f>
        <v>0.18</v>
      </c>
    </row>
    <row r="5" spans="2:22">
      <c r="B5" s="549"/>
      <c r="C5" s="281" t="s">
        <v>62</v>
      </c>
      <c r="D5" s="278" t="s">
        <v>15</v>
      </c>
      <c r="F5" s="267">
        <f>INDEX('Master Summary'!$B$5:$V$15,MATCH(ChartData!$D5,_xlfn.ANCHORARRAY('Master Summary'!B$5),0),3)</f>
        <v>0.18000000000000002</v>
      </c>
      <c r="G5" s="267">
        <f>INDEX('Master Summary'!$B$5:$V$15,MATCH(ChartData!$D5,_xlfn.ANCHORARRAY('Master Summary'!B$5),0),7)</f>
        <v>0.18000000000000002</v>
      </c>
      <c r="H5" s="267">
        <f>INDEX('Master Summary'!$B$5:$V$15,MATCH(ChartData!$D5,_xlfn.ANCHORARRAY('Master Summary'!B$5),0),11)</f>
        <v>0.18</v>
      </c>
      <c r="I5" s="267">
        <f>INDEX('Master Summary'!$B$5:$V$15,MATCH(ChartData!$D5,_xlfn.ANCHORARRAY('Master Summary'!B$5),0),15)</f>
        <v>0.18</v>
      </c>
      <c r="J5" s="267">
        <f>INDEX('Master Summary'!$B$5:$V$15,MATCH(ChartData!$D5,_xlfn.ANCHORARRAY('Master Summary'!B$5),0),19)</f>
        <v>0.18</v>
      </c>
      <c r="K5" s="267"/>
      <c r="L5" s="267">
        <f>INDEX('Master Summary'!$B$5:$V$15,MATCH(ChartData!$D5,_xlfn.ANCHORARRAY('Master Summary'!B$5),0),4)</f>
        <v>0.14000000000000001</v>
      </c>
      <c r="M5" s="267">
        <f>INDEX('Master Summary'!$B$5:$V$15,MATCH(ChartData!$D5,_xlfn.ANCHORARRAY('Master Summary'!B$5),0),8)</f>
        <v>0.14000000000000001</v>
      </c>
      <c r="N5" s="267">
        <f>INDEX('Master Summary'!$B$5:$V$15,MATCH(ChartData!$D5,_xlfn.ANCHORARRAY('Master Summary'!B$5),0),12)</f>
        <v>0.14000000000000001</v>
      </c>
      <c r="O5" s="267">
        <f>INDEX('Master Summary'!$B$5:$V$15,MATCH(ChartData!$D5,_xlfn.ANCHORARRAY('Master Summary'!B$5),0),16)</f>
        <v>0.14000000000000001</v>
      </c>
      <c r="P5" s="267">
        <f>INDEX('Master Summary'!$B$5:$V$15,MATCH(ChartData!$D5,_xlfn.ANCHORARRAY('Master Summary'!B$5),0),20)</f>
        <v>0.14000000000000001</v>
      </c>
      <c r="Q5" s="267"/>
      <c r="R5" s="267">
        <f>INDEX('Master Summary'!$B$5:$V$15,MATCH(ChartData!$D5,_xlfn.ANCHORARRAY('Master Summary'!B$5),0),5)</f>
        <v>0.11581809921393921</v>
      </c>
      <c r="S5" s="267">
        <f>INDEX('Master Summary'!$B$5:$V$15,MATCH(ChartData!$D5,_xlfn.ANCHORARRAY('Master Summary'!B$5),0),9)</f>
        <v>0.11581809921393921</v>
      </c>
      <c r="T5" s="267">
        <f>INDEX('Master Summary'!$B$5:$V$15,MATCH(ChartData!$D5,_xlfn.ANCHORARRAY('Master Summary'!B$5),0),13)</f>
        <v>0.10745429764181762</v>
      </c>
      <c r="U5" s="267">
        <f>INDEX('Master Summary'!$B$5:$V$15,MATCH(ChartData!$D5,_xlfn.ANCHORARRAY('Master Summary'!B$5),0),17)</f>
        <v>0.12</v>
      </c>
      <c r="V5" s="267">
        <f>INDEX('Master Summary'!$B$5:$V$15,MATCH(ChartData!$D5,_xlfn.ANCHORARRAY('Master Summary'!B$5),0),21)</f>
        <v>0.12</v>
      </c>
    </row>
    <row r="6" spans="2:22">
      <c r="B6" s="550"/>
      <c r="C6" s="281" t="s">
        <v>63</v>
      </c>
      <c r="D6" s="278" t="s">
        <v>16</v>
      </c>
      <c r="F6" s="267">
        <f>INDEX('Master Summary'!$B$5:$V$15,MATCH(ChartData!$D6,_xlfn.ANCHORARRAY('Master Summary'!B$5),0),3)</f>
        <v>0.06</v>
      </c>
      <c r="G6" s="267">
        <f>INDEX('Master Summary'!$B$5:$V$15,MATCH(ChartData!$D6,_xlfn.ANCHORARRAY('Master Summary'!B$5),0),7)</f>
        <v>0.06</v>
      </c>
      <c r="H6" s="267">
        <f>INDEX('Master Summary'!$B$5:$V$15,MATCH(ChartData!$D6,_xlfn.ANCHORARRAY('Master Summary'!B$5),0),11)</f>
        <v>0.06</v>
      </c>
      <c r="I6" s="267">
        <f>INDEX('Master Summary'!$B$5:$V$15,MATCH(ChartData!$D6,_xlfn.ANCHORARRAY('Master Summary'!B$5),0),15)</f>
        <v>0.06</v>
      </c>
      <c r="J6" s="267">
        <f>INDEX('Master Summary'!$B$5:$V$15,MATCH(ChartData!$D6,_xlfn.ANCHORARRAY('Master Summary'!B$5),0),19)</f>
        <v>0.06</v>
      </c>
      <c r="K6" s="267"/>
      <c r="L6" s="267">
        <f>INDEX('Master Summary'!$B$5:$V$15,MATCH(ChartData!$D6,_xlfn.ANCHORARRAY('Master Summary'!B$5),0),4)</f>
        <v>0.06</v>
      </c>
      <c r="M6" s="267">
        <f>INDEX('Master Summary'!$B$5:$V$15,MATCH(ChartData!$D6,_xlfn.ANCHORARRAY('Master Summary'!B$5),0),8)</f>
        <v>0.06</v>
      </c>
      <c r="N6" s="267">
        <f>INDEX('Master Summary'!$B$5:$V$15,MATCH(ChartData!$D6,_xlfn.ANCHORARRAY('Master Summary'!B$5),0),12)</f>
        <v>0.06</v>
      </c>
      <c r="O6" s="267">
        <f>INDEX('Master Summary'!$B$5:$V$15,MATCH(ChartData!$D6,_xlfn.ANCHORARRAY('Master Summary'!B$5),0),16)</f>
        <v>0.06</v>
      </c>
      <c r="P6" s="267">
        <f>INDEX('Master Summary'!$B$5:$V$15,MATCH(ChartData!$D6,_xlfn.ANCHORARRAY('Master Summary'!B$5),0),20)</f>
        <v>0.06</v>
      </c>
      <c r="Q6" s="267"/>
      <c r="R6" s="267">
        <f>INDEX('Master Summary'!$B$5:$V$15,MATCH(ChartData!$D6,_xlfn.ANCHORARRAY('Master Summary'!B$5),0),5)</f>
        <v>0</v>
      </c>
      <c r="S6" s="267">
        <f>INDEX('Master Summary'!$B$5:$V$15,MATCH(ChartData!$D6,_xlfn.ANCHORARRAY('Master Summary'!B$5),0),9)</f>
        <v>0</v>
      </c>
      <c r="T6" s="267">
        <f>INDEX('Master Summary'!$B$5:$V$15,MATCH(ChartData!$D6,_xlfn.ANCHORARRAY('Master Summary'!B$5),0),13)</f>
        <v>0</v>
      </c>
      <c r="U6" s="267">
        <f>INDEX('Master Summary'!$B$5:$V$15,MATCH(ChartData!$D6,_xlfn.ANCHORARRAY('Master Summary'!B$5),0),17)</f>
        <v>0</v>
      </c>
      <c r="V6" s="267">
        <f>INDEX('Master Summary'!$B$5:$V$15,MATCH(ChartData!$D6,_xlfn.ANCHORARRAY('Master Summary'!B$5),0),21)</f>
        <v>0</v>
      </c>
    </row>
    <row r="7" spans="2:22">
      <c r="B7" s="551" t="s">
        <v>17</v>
      </c>
      <c r="C7" s="282" t="s">
        <v>64</v>
      </c>
      <c r="D7" s="279" t="s">
        <v>18</v>
      </c>
      <c r="E7" s="269"/>
      <c r="F7" s="270">
        <f>INDEX('Master Summary'!$B$5:$V$15,MATCH(ChartData!$D7,_xlfn.ANCHORARRAY('Master Summary'!B$5),0),3)</f>
        <v>5.6666666666666587E-2</v>
      </c>
      <c r="G7" s="270">
        <f>INDEX('Master Summary'!$B$5:$V$15,MATCH(ChartData!$D7,_xlfn.ANCHORARRAY('Master Summary'!B$5),0),7)</f>
        <v>5.6666666666666587E-2</v>
      </c>
      <c r="H7" s="270">
        <f>INDEX('Master Summary'!$B$5:$V$15,MATCH(ChartData!$D7,_xlfn.ANCHORARRAY('Master Summary'!B$5),0),11)</f>
        <v>6.9999999999999812E-2</v>
      </c>
      <c r="I7" s="270">
        <f>INDEX('Master Summary'!$B$5:$V$15,MATCH(ChartData!$D7,_xlfn.ANCHORARRAY('Master Summary'!B$5),0),15)</f>
        <v>9.9999999999999936E-2</v>
      </c>
      <c r="J7" s="270">
        <f>INDEX('Master Summary'!$B$5:$V$15,MATCH(ChartData!$D7,_xlfn.ANCHORARRAY('Master Summary'!B$5),0),19)</f>
        <v>0</v>
      </c>
      <c r="K7" s="270"/>
      <c r="L7" s="270">
        <f>INDEX('Master Summary'!$B$5:$V$15,MATCH(ChartData!$D7,_xlfn.ANCHORARRAY('Master Summary'!B$5),0),4)</f>
        <v>0.15930222233589092</v>
      </c>
      <c r="M7" s="270">
        <f>INDEX('Master Summary'!$B$5:$V$15,MATCH(ChartData!$D7,_xlfn.ANCHORARRAY('Master Summary'!B$5),0),8)</f>
        <v>0.15930222233589092</v>
      </c>
      <c r="N7" s="270">
        <f>INDEX('Master Summary'!$B$5:$V$15,MATCH(ChartData!$D7,_xlfn.ANCHORARRAY('Master Summary'!B$5),0),12)</f>
        <v>0.17000099999999974</v>
      </c>
      <c r="O7" s="270">
        <f>INDEX('Master Summary'!$B$5:$V$15,MATCH(ChartData!$D7,_xlfn.ANCHORARRAY('Master Summary'!B$5),0),16)</f>
        <v>0.19999999999999971</v>
      </c>
      <c r="P7" s="270">
        <f>INDEX('Master Summary'!$B$5:$V$15,MATCH(ChartData!$D7,_xlfn.ANCHORARRAY('Master Summary'!B$5),0),20)</f>
        <v>0.10790566700767328</v>
      </c>
      <c r="Q7" s="270"/>
      <c r="R7" s="270">
        <f>INDEX('Master Summary'!$B$5:$V$15,MATCH(ChartData!$D7,_xlfn.ANCHORARRAY('Master Summary'!B$5),0),5)</f>
        <v>0.41910613380137668</v>
      </c>
      <c r="S7" s="270">
        <f>INDEX('Master Summary'!$B$5:$V$15,MATCH(ChartData!$D7,_xlfn.ANCHORARRAY('Master Summary'!B$5),0),9)</f>
        <v>0.41910613380137668</v>
      </c>
      <c r="T7" s="270">
        <f>INDEX('Master Summary'!$B$5:$V$15,MATCH(ChartData!$D7,_xlfn.ANCHORARRAY('Master Summary'!B$5),0),13)</f>
        <v>0.40000099999999977</v>
      </c>
      <c r="U7" s="270">
        <f>INDEX('Master Summary'!$B$5:$V$15,MATCH(ChartData!$D7,_xlfn.ANCHORARRAY('Master Summary'!B$5),0),17)</f>
        <v>0.39999999999999969</v>
      </c>
      <c r="V7" s="270">
        <f>INDEX('Master Summary'!$B$5:$V$15,MATCH(ChartData!$D7,_xlfn.ANCHORARRAY('Master Summary'!B$5),0),21)</f>
        <v>0.45731740140413046</v>
      </c>
    </row>
    <row r="8" spans="2:22">
      <c r="B8" s="549"/>
      <c r="C8" s="281" t="s">
        <v>65</v>
      </c>
      <c r="D8" s="278" t="s">
        <v>19</v>
      </c>
      <c r="F8" s="267">
        <f>INDEX('Master Summary'!$B$5:$V$15,MATCH(ChartData!$D8,_xlfn.ANCHORARRAY('Master Summary'!B$5),0),3)</f>
        <v>0.10333333333333324</v>
      </c>
      <c r="G8" s="267">
        <f>INDEX('Master Summary'!$B$5:$V$15,MATCH(ChartData!$D8,_xlfn.ANCHORARRAY('Master Summary'!B$5),0),7)</f>
        <v>0.10333333333333324</v>
      </c>
      <c r="H8" s="267">
        <f>INDEX('Master Summary'!$B$5:$V$15,MATCH(ChartData!$D8,_xlfn.ANCHORARRAY('Master Summary'!B$5),0),11)</f>
        <v>0</v>
      </c>
      <c r="I8" s="267">
        <f>INDEX('Master Summary'!$B$5:$V$15,MATCH(ChartData!$D8,_xlfn.ANCHORARRAY('Master Summary'!B$5),0),15)</f>
        <v>0</v>
      </c>
      <c r="J8" s="267">
        <f>INDEX('Master Summary'!$B$5:$V$15,MATCH(ChartData!$D8,_xlfn.ANCHORARRAY('Master Summary'!B$5),0),19)</f>
        <v>0.30999999999999972</v>
      </c>
      <c r="K8" s="267"/>
      <c r="L8" s="267">
        <f>INDEX('Master Summary'!$B$5:$V$15,MATCH(ChartData!$D8,_xlfn.ANCHORARRAY('Master Summary'!B$5),0),4)</f>
        <v>0.10069811099744219</v>
      </c>
      <c r="M8" s="267">
        <f>INDEX('Master Summary'!$B$5:$V$15,MATCH(ChartData!$D8,_xlfn.ANCHORARRAY('Master Summary'!B$5),0),8)</f>
        <v>0.10069811099744219</v>
      </c>
      <c r="N8" s="267">
        <f>INDEX('Master Summary'!$B$5:$V$15,MATCH(ChartData!$D8,_xlfn.ANCHORARRAY('Master Summary'!B$5),0),12)</f>
        <v>0</v>
      </c>
      <c r="O8" s="267">
        <f>INDEX('Master Summary'!$B$5:$V$15,MATCH(ChartData!$D8,_xlfn.ANCHORARRAY('Master Summary'!B$5),0),16)</f>
        <v>0</v>
      </c>
      <c r="P8" s="267">
        <f>INDEX('Master Summary'!$B$5:$V$15,MATCH(ChartData!$D8,_xlfn.ANCHORARRAY('Master Summary'!B$5),0),20)</f>
        <v>0.30209433299232658</v>
      </c>
      <c r="Q8" s="267"/>
      <c r="R8" s="267">
        <f>INDEX('Master Summary'!$B$5:$V$15,MATCH(ChartData!$D8,_xlfn.ANCHORARRAY('Master Summary'!B$5),0),5)</f>
        <v>6.0894532865289779E-2</v>
      </c>
      <c r="S8" s="267">
        <f>INDEX('Master Summary'!$B$5:$V$15,MATCH(ChartData!$D8,_xlfn.ANCHORARRAY('Master Summary'!B$5),0),9)</f>
        <v>6.0894532865289779E-2</v>
      </c>
      <c r="T8" s="267">
        <f>INDEX('Master Summary'!$B$5:$V$15,MATCH(ChartData!$D8,_xlfn.ANCHORARRAY('Master Summary'!B$5),0),13)</f>
        <v>0</v>
      </c>
      <c r="U8" s="267">
        <f>INDEX('Master Summary'!$B$5:$V$15,MATCH(ChartData!$D8,_xlfn.ANCHORARRAY('Master Summary'!B$5),0),17)</f>
        <v>0</v>
      </c>
      <c r="V8" s="267">
        <f>INDEX('Master Summary'!$B$5:$V$15,MATCH(ChartData!$D8,_xlfn.ANCHORARRAY('Master Summary'!B$5),0),21)</f>
        <v>0.18268359859586933</v>
      </c>
    </row>
    <row r="9" spans="2:22">
      <c r="B9" s="550"/>
      <c r="C9" s="281" t="s">
        <v>66</v>
      </c>
      <c r="D9" s="278" t="s">
        <v>20</v>
      </c>
      <c r="F9" s="267">
        <f>INDEX('Master Summary'!$B$5:$V$15,MATCH(ChartData!$D9,_xlfn.ANCHORARRAY('Master Summary'!B$5),0),3)</f>
        <v>0.02</v>
      </c>
      <c r="G9" s="267">
        <f>INDEX('Master Summary'!$B$5:$V$15,MATCH(ChartData!$D9,_xlfn.ANCHORARRAY('Master Summary'!B$5),0),7)</f>
        <v>0.02</v>
      </c>
      <c r="H9" s="267">
        <f>INDEX('Master Summary'!$B$5:$V$15,MATCH(ChartData!$D9,_xlfn.ANCHORARRAY('Master Summary'!B$5),0),11)</f>
        <v>3.0000000000000002E-2</v>
      </c>
      <c r="I9" s="267">
        <f>INDEX('Master Summary'!$B$5:$V$15,MATCH(ChartData!$D9,_xlfn.ANCHORARRAY('Master Summary'!B$5),0),15)</f>
        <v>0</v>
      </c>
      <c r="J9" s="267">
        <f>INDEX('Master Summary'!$B$5:$V$15,MATCH(ChartData!$D9,_xlfn.ANCHORARRAY('Master Summary'!B$5),0),19)</f>
        <v>3.0000000000000002E-2</v>
      </c>
      <c r="K9" s="267"/>
      <c r="L9" s="267">
        <f>INDEX('Master Summary'!$B$5:$V$15,MATCH(ChartData!$D9,_xlfn.ANCHORARRAY('Master Summary'!B$5),0),4)</f>
        <v>0.02</v>
      </c>
      <c r="M9" s="267">
        <f>INDEX('Master Summary'!$B$5:$V$15,MATCH(ChartData!$D9,_xlfn.ANCHORARRAY('Master Summary'!B$5),0),8)</f>
        <v>0.02</v>
      </c>
      <c r="N9" s="267">
        <f>INDEX('Master Summary'!$B$5:$V$15,MATCH(ChartData!$D9,_xlfn.ANCHORARRAY('Master Summary'!B$5),0),12)</f>
        <v>3.0000000000000002E-2</v>
      </c>
      <c r="O9" s="267">
        <f>INDEX('Master Summary'!$B$5:$V$15,MATCH(ChartData!$D9,_xlfn.ANCHORARRAY('Master Summary'!B$5),0),16)</f>
        <v>0</v>
      </c>
      <c r="P9" s="267">
        <f>INDEX('Master Summary'!$B$5:$V$15,MATCH(ChartData!$D9,_xlfn.ANCHORARRAY('Master Summary'!B$5),0),20)</f>
        <v>0.03</v>
      </c>
      <c r="Q9" s="267"/>
      <c r="R9" s="267">
        <f>INDEX('Master Summary'!$B$5:$V$15,MATCH(ChartData!$D9,_xlfn.ANCHORARRAY('Master Summary'!B$5),0),5)</f>
        <v>0</v>
      </c>
      <c r="S9" s="267">
        <f>INDEX('Master Summary'!$B$5:$V$15,MATCH(ChartData!$D9,_xlfn.ANCHORARRAY('Master Summary'!B$5),0),9)</f>
        <v>0</v>
      </c>
      <c r="T9" s="267">
        <f>INDEX('Master Summary'!$B$5:$V$15,MATCH(ChartData!$D9,_xlfn.ANCHORARRAY('Master Summary'!B$5),0),13)</f>
        <v>0</v>
      </c>
      <c r="U9" s="267">
        <f>INDEX('Master Summary'!$B$5:$V$15,MATCH(ChartData!$D9,_xlfn.ANCHORARRAY('Master Summary'!B$5),0),17)</f>
        <v>0</v>
      </c>
      <c r="V9" s="267">
        <f>INDEX('Master Summary'!$B$5:$V$15,MATCH(ChartData!$D9,_xlfn.ANCHORARRAY('Master Summary'!B$5),0),21)</f>
        <v>0</v>
      </c>
    </row>
    <row r="10" spans="2:22">
      <c r="B10" s="551" t="s">
        <v>67</v>
      </c>
      <c r="C10" s="282" t="s">
        <v>68</v>
      </c>
      <c r="D10" s="279" t="s">
        <v>22</v>
      </c>
      <c r="E10" s="269"/>
      <c r="F10" s="270">
        <f>INDEX('Master Summary'!$B$5:$V$15,MATCH(ChartData!$D10,_xlfn.ANCHORARRAY('Master Summary'!B$5),0),3)</f>
        <v>0.08</v>
      </c>
      <c r="G10" s="270">
        <f>INDEX('Master Summary'!$B$5:$V$15,MATCH(ChartData!$D10,_xlfn.ANCHORARRAY('Master Summary'!B$5),0),7)</f>
        <v>0.08</v>
      </c>
      <c r="H10" s="270">
        <f>INDEX('Master Summary'!$B$5:$V$15,MATCH(ChartData!$D10,_xlfn.ANCHORARRAY('Master Summary'!B$5),0),11)</f>
        <v>0</v>
      </c>
      <c r="I10" s="270">
        <f>INDEX('Master Summary'!$B$5:$V$15,MATCH(ChartData!$D10,_xlfn.ANCHORARRAY('Master Summary'!B$5),0),15)</f>
        <v>0.24</v>
      </c>
      <c r="J10" s="270">
        <f>INDEX('Master Summary'!$B$5:$V$15,MATCH(ChartData!$D10,_xlfn.ANCHORARRAY('Master Summary'!B$5),0),19)</f>
        <v>0</v>
      </c>
      <c r="K10" s="270"/>
      <c r="L10" s="270">
        <f>INDEX('Master Summary'!$B$5:$V$15,MATCH(ChartData!$D10,_xlfn.ANCHORARRAY('Master Summary'!B$5),0),4)</f>
        <v>7.115764847696919E-2</v>
      </c>
      <c r="M10" s="270">
        <f>INDEX('Master Summary'!$B$5:$V$15,MATCH(ChartData!$D10,_xlfn.ANCHORARRAY('Master Summary'!B$5),0),8)</f>
        <v>7.115764847696919E-2</v>
      </c>
      <c r="N10" s="270">
        <f>INDEX('Master Summary'!$B$5:$V$15,MATCH(ChartData!$D10,_xlfn.ANCHORARRAY('Master Summary'!B$5),0),12)</f>
        <v>0</v>
      </c>
      <c r="O10" s="270">
        <f>INDEX('Master Summary'!$B$5:$V$15,MATCH(ChartData!$D10,_xlfn.ANCHORARRAY('Master Summary'!B$5),0),16)</f>
        <v>0.21347294543090758</v>
      </c>
      <c r="P10" s="270">
        <f>INDEX('Master Summary'!$B$5:$V$15,MATCH(ChartData!$D10,_xlfn.ANCHORARRAY('Master Summary'!B$5),0),20)</f>
        <v>0</v>
      </c>
      <c r="Q10" s="270"/>
      <c r="R10" s="270">
        <f>INDEX('Master Summary'!$B$5:$V$15,MATCH(ChartData!$D10,_xlfn.ANCHORARRAY('Master Summary'!B$5),0),5)</f>
        <v>0.06</v>
      </c>
      <c r="S10" s="270">
        <f>INDEX('Master Summary'!$B$5:$V$15,MATCH(ChartData!$D10,_xlfn.ANCHORARRAY('Master Summary'!B$5),0),9)</f>
        <v>0.06</v>
      </c>
      <c r="T10" s="270">
        <f>INDEX('Master Summary'!$B$5:$V$15,MATCH(ChartData!$D10,_xlfn.ANCHORARRAY('Master Summary'!B$5),0),13)</f>
        <v>0</v>
      </c>
      <c r="U10" s="270">
        <f>INDEX('Master Summary'!$B$5:$V$15,MATCH(ChartData!$D10,_xlfn.ANCHORARRAY('Master Summary'!B$5),0),17)</f>
        <v>0.18</v>
      </c>
      <c r="V10" s="270">
        <f>INDEX('Master Summary'!$B$5:$V$15,MATCH(ChartData!$D10,_xlfn.ANCHORARRAY('Master Summary'!B$5),0),21)</f>
        <v>0</v>
      </c>
    </row>
    <row r="11" spans="2:22">
      <c r="B11" s="549"/>
      <c r="C11" s="281" t="s">
        <v>69</v>
      </c>
      <c r="D11" s="278" t="s">
        <v>23</v>
      </c>
      <c r="F11" s="267">
        <f>INDEX('Master Summary'!$B$5:$V$15,MATCH(ChartData!$D11,_xlfn.ANCHORARRAY('Master Summary'!B$5),0),3)</f>
        <v>0.02</v>
      </c>
      <c r="G11" s="267">
        <f>INDEX('Master Summary'!$B$5:$V$15,MATCH(ChartData!$D11,_xlfn.ANCHORARRAY('Master Summary'!B$5),0),7)</f>
        <v>0.02</v>
      </c>
      <c r="H11" s="267">
        <f>INDEX('Master Summary'!$B$5:$V$15,MATCH(ChartData!$D11,_xlfn.ANCHORARRAY('Master Summary'!B$5),0),11)</f>
        <v>0.06</v>
      </c>
      <c r="I11" s="267">
        <f>INDEX('Master Summary'!$B$5:$V$15,MATCH(ChartData!$D11,_xlfn.ANCHORARRAY('Master Summary'!B$5),0),15)</f>
        <v>0</v>
      </c>
      <c r="J11" s="267">
        <f>INDEX('Master Summary'!$B$5:$V$15,MATCH(ChartData!$D11,_xlfn.ANCHORARRAY('Master Summary'!B$5),0),19)</f>
        <v>0</v>
      </c>
      <c r="K11" s="267"/>
      <c r="L11" s="267">
        <f>INDEX('Master Summary'!$B$5:$V$15,MATCH(ChartData!$D11,_xlfn.ANCHORARRAY('Master Summary'!B$5),0),4)</f>
        <v>2.8842351523030805E-2</v>
      </c>
      <c r="M11" s="267">
        <f>INDEX('Master Summary'!$B$5:$V$15,MATCH(ChartData!$D11,_xlfn.ANCHORARRAY('Master Summary'!B$5),0),8)</f>
        <v>2.8842351523030805E-2</v>
      </c>
      <c r="N11" s="267">
        <f>INDEX('Master Summary'!$B$5:$V$15,MATCH(ChartData!$D11,_xlfn.ANCHORARRAY('Master Summary'!B$5),0),12)</f>
        <v>0.06</v>
      </c>
      <c r="O11" s="267">
        <f>INDEX('Master Summary'!$B$5:$V$15,MATCH(ChartData!$D11,_xlfn.ANCHORARRAY('Master Summary'!B$5),0),16)</f>
        <v>2.6527054569092417E-2</v>
      </c>
      <c r="P11" s="267">
        <f>INDEX('Master Summary'!$B$5:$V$15,MATCH(ChartData!$D11,_xlfn.ANCHORARRAY('Master Summary'!B$5),0),20)</f>
        <v>0</v>
      </c>
      <c r="Q11" s="267"/>
      <c r="R11" s="267">
        <f>INDEX('Master Summary'!$B$5:$V$15,MATCH(ChartData!$D11,_xlfn.ANCHORARRAY('Master Summary'!B$5),0),5)</f>
        <v>0.04</v>
      </c>
      <c r="S11" s="267">
        <f>INDEX('Master Summary'!$B$5:$V$15,MATCH(ChartData!$D11,_xlfn.ANCHORARRAY('Master Summary'!B$5),0),9)</f>
        <v>0.04</v>
      </c>
      <c r="T11" s="267">
        <f>INDEX('Master Summary'!$B$5:$V$15,MATCH(ChartData!$D11,_xlfn.ANCHORARRAY('Master Summary'!B$5),0),13)</f>
        <v>0.06</v>
      </c>
      <c r="U11" s="267">
        <f>INDEX('Master Summary'!$B$5:$V$15,MATCH(ChartData!$D11,_xlfn.ANCHORARRAY('Master Summary'!B$5),0),17)</f>
        <v>0.06</v>
      </c>
      <c r="V11" s="267">
        <f>INDEX('Master Summary'!$B$5:$V$15,MATCH(ChartData!$D11,_xlfn.ANCHORARRAY('Master Summary'!B$5),0),21)</f>
        <v>0</v>
      </c>
    </row>
    <row r="12" spans="2:22">
      <c r="B12" s="549"/>
      <c r="C12" s="281" t="s">
        <v>70</v>
      </c>
      <c r="D12" s="278" t="s">
        <v>24</v>
      </c>
      <c r="F12" s="267">
        <f>INDEX('Master Summary'!$B$5:$V$15,MATCH(ChartData!$D12,_xlfn.ANCHORARRAY('Master Summary'!B$5),0),3)</f>
        <v>0.06</v>
      </c>
      <c r="G12" s="267">
        <f>INDEX('Master Summary'!$B$5:$V$15,MATCH(ChartData!$D12,_xlfn.ANCHORARRAY('Master Summary'!B$5),0),7)</f>
        <v>0.06</v>
      </c>
      <c r="H12" s="267">
        <f>INDEX('Master Summary'!$B$5:$V$15,MATCH(ChartData!$D12,_xlfn.ANCHORARRAY('Master Summary'!B$5),0),11)</f>
        <v>0.06</v>
      </c>
      <c r="I12" s="267">
        <f>INDEX('Master Summary'!$B$5:$V$15,MATCH(ChartData!$D12,_xlfn.ANCHORARRAY('Master Summary'!B$5),0),15)</f>
        <v>5.9999999999999991E-2</v>
      </c>
      <c r="J12" s="267">
        <f>INDEX('Master Summary'!$B$5:$V$15,MATCH(ChartData!$D12,_xlfn.ANCHORARRAY('Master Summary'!B$5),0),19)</f>
        <v>0.06</v>
      </c>
      <c r="K12" s="267"/>
      <c r="L12" s="267">
        <f>INDEX('Master Summary'!$B$5:$V$15,MATCH(ChartData!$D12,_xlfn.ANCHORARRAY('Master Summary'!B$5),0),4)</f>
        <v>5.3872993615826086E-2</v>
      </c>
      <c r="M12" s="267">
        <f>INDEX('Master Summary'!$B$5:$V$15,MATCH(ChartData!$D12,_xlfn.ANCHORARRAY('Master Summary'!B$5),0),8)</f>
        <v>5.3872993615826086E-2</v>
      </c>
      <c r="N12" s="267">
        <f>INDEX('Master Summary'!$B$5:$V$15,MATCH(ChartData!$D12,_xlfn.ANCHORARRAY('Master Summary'!B$5),0),12)</f>
        <v>4.1618980847478268E-2</v>
      </c>
      <c r="O12" s="267">
        <f>INDEX('Master Summary'!$B$5:$V$15,MATCH(ChartData!$D12,_xlfn.ANCHORARRAY('Master Summary'!B$5),0),16)</f>
        <v>5.9999999999999991E-2</v>
      </c>
      <c r="P12" s="267">
        <f>INDEX('Master Summary'!$B$5:$V$15,MATCH(ChartData!$D12,_xlfn.ANCHORARRAY('Master Summary'!B$5),0),20)</f>
        <v>0.06</v>
      </c>
      <c r="Q12" s="267"/>
      <c r="R12" s="267">
        <f>INDEX('Master Summary'!$B$5:$V$15,MATCH(ChartData!$D12,_xlfn.ANCHORARRAY('Master Summary'!B$5),0),5)</f>
        <v>4.800274696450535E-2</v>
      </c>
      <c r="S12" s="267">
        <f>INDEX('Master Summary'!$B$5:$V$15,MATCH(ChartData!$D12,_xlfn.ANCHORARRAY('Master Summary'!B$5),0),9)</f>
        <v>4.800274696450535E-2</v>
      </c>
      <c r="T12" s="267">
        <f>INDEX('Master Summary'!$B$5:$V$15,MATCH(ChartData!$D12,_xlfn.ANCHORARRAY('Master Summary'!B$5),0),13)</f>
        <v>2.4008240893516056E-2</v>
      </c>
      <c r="U12" s="267">
        <f>INDEX('Master Summary'!$B$5:$V$15,MATCH(ChartData!$D12,_xlfn.ANCHORARRAY('Master Summary'!B$5),0),17)</f>
        <v>0.06</v>
      </c>
      <c r="V12" s="267">
        <f>INDEX('Master Summary'!$B$5:$V$15,MATCH(ChartData!$D12,_xlfn.ANCHORARRAY('Master Summary'!B$5),0),21)</f>
        <v>0.06</v>
      </c>
    </row>
    <row r="13" spans="2:22">
      <c r="B13" s="549"/>
      <c r="C13" s="281" t="s">
        <v>71</v>
      </c>
      <c r="D13" s="278" t="s">
        <v>25</v>
      </c>
      <c r="F13" s="267">
        <f>INDEX('Master Summary'!$B$5:$V$15,MATCH(ChartData!$D13,_xlfn.ANCHORARRAY('Master Summary'!B$5),0),3)</f>
        <v>2.090091404852196E-2</v>
      </c>
      <c r="G13" s="267">
        <f>INDEX('Master Summary'!$B$5:$V$15,MATCH(ChartData!$D13,_xlfn.ANCHORARRAY('Master Summary'!B$5),0),7)</f>
        <v>2.090091404852196E-2</v>
      </c>
      <c r="H13" s="267">
        <f>INDEX('Master Summary'!$B$5:$V$15,MATCH(ChartData!$D13,_xlfn.ANCHORARRAY('Master Summary'!B$5),0),11)</f>
        <v>6.2702742145565885E-2</v>
      </c>
      <c r="I13" s="267">
        <f>INDEX('Master Summary'!$B$5:$V$15,MATCH(ChartData!$D13,_xlfn.ANCHORARRAY('Master Summary'!B$5),0),15)</f>
        <v>0</v>
      </c>
      <c r="J13" s="267">
        <f>INDEX('Master Summary'!$B$5:$V$15,MATCH(ChartData!$D13,_xlfn.ANCHORARRAY('Master Summary'!B$5),0),19)</f>
        <v>0</v>
      </c>
      <c r="K13" s="267"/>
      <c r="L13" s="267">
        <f>INDEX('Master Summary'!$B$5:$V$15,MATCH(ChartData!$D13,_xlfn.ANCHORARRAY('Master Summary'!B$5),0),4)</f>
        <v>1.4778209983449891E-2</v>
      </c>
      <c r="M13" s="267">
        <f>INDEX('Master Summary'!$B$5:$V$15,MATCH(ChartData!$D13,_xlfn.ANCHORARRAY('Master Summary'!B$5),0),8)</f>
        <v>1.4778209983449891E-2</v>
      </c>
      <c r="N13" s="267">
        <f>INDEX('Master Summary'!$B$5:$V$15,MATCH(ChartData!$D13,_xlfn.ANCHORARRAY('Master Summary'!B$5),0),12)</f>
        <v>4.4334629950349674E-2</v>
      </c>
      <c r="O13" s="267">
        <f>INDEX('Master Summary'!$B$5:$V$15,MATCH(ChartData!$D13,_xlfn.ANCHORARRAY('Master Summary'!B$5),0),16)</f>
        <v>0</v>
      </c>
      <c r="P13" s="267">
        <f>INDEX('Master Summary'!$B$5:$V$15,MATCH(ChartData!$D13,_xlfn.ANCHORARRAY('Master Summary'!B$5),0),20)</f>
        <v>0</v>
      </c>
      <c r="Q13" s="267"/>
      <c r="R13" s="267">
        <f>INDEX('Master Summary'!$B$5:$V$15,MATCH(ChartData!$D13,_xlfn.ANCHORARRAY('Master Summary'!B$5),0),5)</f>
        <v>1.5894905626064923E-2</v>
      </c>
      <c r="S13" s="267">
        <f>INDEX('Master Summary'!$B$5:$V$15,MATCH(ChartData!$D13,_xlfn.ANCHORARRAY('Master Summary'!B$5),0),9)</f>
        <v>1.5894905626064923E-2</v>
      </c>
      <c r="T13" s="267">
        <f>INDEX('Master Summary'!$B$5:$V$15,MATCH(ChartData!$D13,_xlfn.ANCHORARRAY('Master Summary'!B$5),0),13)</f>
        <v>4.7684716878194769E-2</v>
      </c>
      <c r="U13" s="267">
        <f>INDEX('Master Summary'!$B$5:$V$15,MATCH(ChartData!$D13,_xlfn.ANCHORARRAY('Master Summary'!B$5),0),17)</f>
        <v>0</v>
      </c>
      <c r="V13" s="267">
        <f>INDEX('Master Summary'!$B$5:$V$15,MATCH(ChartData!$D13,_xlfn.ANCHORARRAY('Master Summary'!B$5),0),21)</f>
        <v>0</v>
      </c>
    </row>
    <row r="14" spans="2:22">
      <c r="B14" s="550"/>
      <c r="C14" s="283" t="s">
        <v>72</v>
      </c>
      <c r="D14" s="280" t="s">
        <v>26</v>
      </c>
      <c r="F14" s="267">
        <f>INDEX('Master Summary'!$B$5:$V$15,MATCH(ChartData!$D14,_xlfn.ANCHORARRAY('Master Summary'!B$5),0),3)</f>
        <v>3.9099085951478034E-2</v>
      </c>
      <c r="G14" s="267">
        <f>INDEX('Master Summary'!$B$5:$V$15,MATCH(ChartData!$D14,_xlfn.ANCHORARRAY('Master Summary'!B$5),0),7)</f>
        <v>3.9099085951478034E-2</v>
      </c>
      <c r="H14" s="267">
        <f>INDEX('Master Summary'!$B$5:$V$15,MATCH(ChartData!$D14,_xlfn.ANCHORARRAY('Master Summary'!B$5),0),11)</f>
        <v>0.11729725785443409</v>
      </c>
      <c r="I14" s="267">
        <f>INDEX('Master Summary'!$B$5:$V$15,MATCH(ChartData!$D14,_xlfn.ANCHORARRAY('Master Summary'!B$5),0),15)</f>
        <v>0</v>
      </c>
      <c r="J14" s="267">
        <f>INDEX('Master Summary'!$B$5:$V$15,MATCH(ChartData!$D14,_xlfn.ANCHORARRAY('Master Summary'!B$5),0),19)</f>
        <v>0</v>
      </c>
      <c r="K14" s="277"/>
      <c r="L14" s="267">
        <f>INDEX('Master Summary'!$B$5:$V$15,MATCH(ChartData!$D14,_xlfn.ANCHORARRAY('Master Summary'!B$5),0),4)</f>
        <v>5.1348796400724019E-2</v>
      </c>
      <c r="M14" s="267">
        <f>INDEX('Master Summary'!$B$5:$V$15,MATCH(ChartData!$D14,_xlfn.ANCHORARRAY('Master Summary'!B$5),0),8)</f>
        <v>5.1348796400724019E-2</v>
      </c>
      <c r="N14" s="267">
        <f>INDEX('Master Summary'!$B$5:$V$15,MATCH(ChartData!$D14,_xlfn.ANCHORARRAY('Master Summary'!B$5),0),12)</f>
        <v>0.15404638920217206</v>
      </c>
      <c r="O14" s="267">
        <f>INDEX('Master Summary'!$B$5:$V$15,MATCH(ChartData!$D14,_xlfn.ANCHORARRAY('Master Summary'!B$5),0),16)</f>
        <v>0</v>
      </c>
      <c r="P14" s="267">
        <f>INDEX('Master Summary'!$B$5:$V$15,MATCH(ChartData!$D14,_xlfn.ANCHORARRAY('Master Summary'!B$5),0),20)</f>
        <v>0</v>
      </c>
      <c r="Q14" s="277"/>
      <c r="R14" s="267">
        <f>INDEX('Master Summary'!$B$5:$V$15,MATCH(ChartData!$D14,_xlfn.ANCHORARRAY('Master Summary'!B$5),0),5)</f>
        <v>5.610234740942973E-2</v>
      </c>
      <c r="S14" s="267">
        <f>INDEX('Master Summary'!$B$5:$V$15,MATCH(ChartData!$D14,_xlfn.ANCHORARRAY('Master Summary'!B$5),0),9)</f>
        <v>5.610234740942973E-2</v>
      </c>
      <c r="T14" s="267">
        <f>INDEX('Master Summary'!$B$5:$V$15,MATCH(ChartData!$D14,_xlfn.ANCHORARRAY('Master Summary'!B$5),0),13)</f>
        <v>0.16830704222828918</v>
      </c>
      <c r="U14" s="267">
        <f>INDEX('Master Summary'!$B$5:$V$15,MATCH(ChartData!$D14,_xlfn.ANCHORARRAY('Master Summary'!B$5),0),17)</f>
        <v>0</v>
      </c>
      <c r="V14" s="267">
        <f>INDEX('Master Summary'!$B$5:$V$15,MATCH(ChartData!$D14,_xlfn.ANCHORARRAY('Master Summary'!B$5),0),21)</f>
        <v>0</v>
      </c>
    </row>
    <row r="15" spans="2:22">
      <c r="D15" s="274" t="s">
        <v>73</v>
      </c>
      <c r="E15" s="275"/>
      <c r="F15" s="266">
        <f>SUM(F4:F14)</f>
        <v>0.99999999999999978</v>
      </c>
      <c r="G15" s="266">
        <f t="shared" ref="G15:J15" si="0">SUM(G4:G14)</f>
        <v>0.99999999999999978</v>
      </c>
      <c r="H15" s="266">
        <f t="shared" si="0"/>
        <v>0.99999999999999989</v>
      </c>
      <c r="I15" s="266">
        <f t="shared" si="0"/>
        <v>0.99999999999999978</v>
      </c>
      <c r="J15" s="266">
        <f t="shared" si="0"/>
        <v>0.99999999999999956</v>
      </c>
      <c r="K15" s="276"/>
      <c r="L15" s="266">
        <f t="shared" ref="L15:P15" si="1">SUM(L4:L14)</f>
        <v>1.0000003333333332</v>
      </c>
      <c r="M15" s="266">
        <f t="shared" si="1"/>
        <v>1.0000003333333332</v>
      </c>
      <c r="N15" s="266">
        <f t="shared" si="1"/>
        <v>1.0000009999999997</v>
      </c>
      <c r="O15" s="266">
        <f t="shared" si="1"/>
        <v>0.99999999999999967</v>
      </c>
      <c r="P15" s="266">
        <f t="shared" si="1"/>
        <v>0.99999999999999978</v>
      </c>
      <c r="Q15" s="276"/>
      <c r="R15" s="266">
        <f t="shared" ref="R15:V15" si="2">SUM(R4:R14)</f>
        <v>1.0000006666666663</v>
      </c>
      <c r="S15" s="266">
        <f t="shared" si="2"/>
        <v>1.0000006666666663</v>
      </c>
      <c r="T15" s="266">
        <f t="shared" si="2"/>
        <v>1.0000009999999997</v>
      </c>
      <c r="U15" s="266">
        <f t="shared" si="2"/>
        <v>0.99999999999999978</v>
      </c>
      <c r="V15" s="266">
        <f t="shared" si="2"/>
        <v>1.0000009999999997</v>
      </c>
    </row>
    <row r="21" spans="2:10" ht="23.25" customHeight="1">
      <c r="B21" s="268"/>
      <c r="C21" s="268"/>
      <c r="D21" s="268"/>
      <c r="E21" s="268"/>
      <c r="F21" s="547" t="str">
        <f>"Optimized Allocations for: "&amp;'CMA Summary'!D5</f>
        <v>Optimized Allocations for: Cliffwater</v>
      </c>
      <c r="G21" s="547"/>
      <c r="H21" s="547"/>
      <c r="I21" s="547"/>
      <c r="J21" s="547"/>
    </row>
    <row r="22" spans="2:10" ht="33" customHeight="1" thickBot="1">
      <c r="B22" s="271" t="s">
        <v>54</v>
      </c>
      <c r="C22" s="271" t="s">
        <v>55</v>
      </c>
      <c r="D22" s="271" t="s">
        <v>56</v>
      </c>
      <c r="E22" s="273"/>
      <c r="F22" s="464" t="s">
        <v>74</v>
      </c>
      <c r="G22" s="464" t="s">
        <v>75</v>
      </c>
      <c r="H22" s="464" t="s">
        <v>3</v>
      </c>
      <c r="I22" s="464" t="s">
        <v>52</v>
      </c>
      <c r="J22" s="464" t="s">
        <v>5</v>
      </c>
    </row>
    <row r="23" spans="2:10">
      <c r="B23" s="548" t="s">
        <v>13</v>
      </c>
      <c r="C23" s="281" t="s">
        <v>61</v>
      </c>
      <c r="D23" s="278" t="s">
        <v>14</v>
      </c>
      <c r="F23" s="267">
        <f>INDEX('CMA Summary'!$B$51:$Q$61,MATCH(ChartData!$D23,_xlfn.ANCHORARRAY('CMA Summary'!B$51),0),3)</f>
        <v>0.42</v>
      </c>
      <c r="G23" s="267">
        <f>INDEX('CMA Summary'!$B$51:$Q$61,MATCH(ChartData!$D23,_xlfn.ANCHORARRAY('CMA Summary'!B$51),0),4)</f>
        <v>9.0909090909090912E-2</v>
      </c>
      <c r="H23" s="267">
        <f>INDEX('CMA Summary'!$B$51:$Q$61,MATCH(ChartData!$D23,_xlfn.ANCHORARRAY('CMA Summary'!B$51),0),8)</f>
        <v>0.35999999999999993</v>
      </c>
      <c r="I23" s="267">
        <f>INDEX('CMA Summary'!$B$51:$Q$61,MATCH(ChartData!$D23,_xlfn.ANCHORARRAY('CMA Summary'!B$51),0),12)</f>
        <v>0.3</v>
      </c>
      <c r="J23" s="267">
        <f>INDEX('CMA Summary'!$B$51:$Q$61,MATCH(ChartData!$D23,_xlfn.ANCHORARRAY('CMA Summary'!B$51),0),16)</f>
        <v>0.18</v>
      </c>
    </row>
    <row r="24" spans="2:10">
      <c r="B24" s="549"/>
      <c r="C24" s="281" t="s">
        <v>62</v>
      </c>
      <c r="D24" s="278" t="s">
        <v>15</v>
      </c>
      <c r="F24" s="267">
        <f>INDEX('CMA Summary'!$B$51:$Q$61,MATCH(ChartData!$D24,_xlfn.ANCHORARRAY('CMA Summary'!B$51),0),3)</f>
        <v>0.18</v>
      </c>
      <c r="G24" s="267">
        <f>INDEX('CMA Summary'!$B$51:$Q$61,MATCH(ChartData!$D24,_xlfn.ANCHORARRAY('CMA Summary'!B$51),0),4)</f>
        <v>9.0909090909090912E-2</v>
      </c>
      <c r="H24" s="267">
        <f>INDEX('CMA Summary'!$B$51:$Q$61,MATCH(ChartData!$D24,_xlfn.ANCHORARRAY('CMA Summary'!B$51),0),8)</f>
        <v>0.18</v>
      </c>
      <c r="I24" s="267">
        <f>INDEX('CMA Summary'!$B$51:$Q$61,MATCH(ChartData!$D24,_xlfn.ANCHORARRAY('CMA Summary'!B$51),0),12)</f>
        <v>0.14000000000000001</v>
      </c>
      <c r="J24" s="267">
        <f>INDEX('CMA Summary'!$B$51:$Q$61,MATCH(ChartData!$D24,_xlfn.ANCHORARRAY('CMA Summary'!B$51),0),16)</f>
        <v>0.12</v>
      </c>
    </row>
    <row r="25" spans="2:10">
      <c r="B25" s="550"/>
      <c r="C25" s="281" t="s">
        <v>63</v>
      </c>
      <c r="D25" s="278" t="s">
        <v>16</v>
      </c>
      <c r="F25" s="267">
        <f>INDEX('CMA Summary'!$B$51:$Q$61,MATCH(ChartData!$D25,_xlfn.ANCHORARRAY('CMA Summary'!B$51),0),3)</f>
        <v>0</v>
      </c>
      <c r="G25" s="267">
        <f>INDEX('CMA Summary'!$B$51:$Q$61,MATCH(ChartData!$D25,_xlfn.ANCHORARRAY('CMA Summary'!B$51),0),4)</f>
        <v>9.0909090909090912E-2</v>
      </c>
      <c r="H25" s="267">
        <f>INDEX('CMA Summary'!$B$51:$Q$61,MATCH(ChartData!$D25,_xlfn.ANCHORARRAY('CMA Summary'!B$51),0),8)</f>
        <v>0.06</v>
      </c>
      <c r="I25" s="267">
        <f>INDEX('CMA Summary'!$B$51:$Q$61,MATCH(ChartData!$D25,_xlfn.ANCHORARRAY('CMA Summary'!B$51),0),12)</f>
        <v>0.06</v>
      </c>
      <c r="J25" s="267">
        <f>INDEX('CMA Summary'!$B$51:$Q$61,MATCH(ChartData!$D25,_xlfn.ANCHORARRAY('CMA Summary'!B$51),0),16)</f>
        <v>0</v>
      </c>
    </row>
    <row r="26" spans="2:10">
      <c r="B26" s="551" t="s">
        <v>17</v>
      </c>
      <c r="C26" s="282" t="s">
        <v>64</v>
      </c>
      <c r="D26" s="279" t="s">
        <v>18</v>
      </c>
      <c r="E26" s="269"/>
      <c r="F26" s="270">
        <f>INDEX('CMA Summary'!$B$51:$Q$61,MATCH(ChartData!$D26,_xlfn.ANCHORARRAY('CMA Summary'!B$51),0),3)</f>
        <v>0.4</v>
      </c>
      <c r="G26" s="270">
        <f>INDEX('CMA Summary'!$B$51:$Q$61,MATCH(ChartData!$D26,_xlfn.ANCHORARRAY('CMA Summary'!B$51),0),4)</f>
        <v>9.0909090909090912E-2</v>
      </c>
      <c r="H26" s="270">
        <f>INDEX('CMA Summary'!$B$51:$Q$61,MATCH(ChartData!$D26,_xlfn.ANCHORARRAY('CMA Summary'!B$51),0),8)</f>
        <v>9.9999999999999936E-2</v>
      </c>
      <c r="I26" s="270">
        <f>INDEX('CMA Summary'!$B$51:$Q$61,MATCH(ChartData!$D26,_xlfn.ANCHORARRAY('CMA Summary'!B$51),0),12)</f>
        <v>0.19999999999999971</v>
      </c>
      <c r="J26" s="270">
        <f>INDEX('CMA Summary'!$B$51:$Q$61,MATCH(ChartData!$D26,_xlfn.ANCHORARRAY('CMA Summary'!B$51),0),16)</f>
        <v>0.39999999999999969</v>
      </c>
    </row>
    <row r="27" spans="2:10">
      <c r="B27" s="549"/>
      <c r="C27" s="281" t="s">
        <v>65</v>
      </c>
      <c r="D27" s="278" t="s">
        <v>19</v>
      </c>
      <c r="F27" s="267">
        <f>INDEX('CMA Summary'!$B$51:$Q$61,MATCH(ChartData!$D27,_xlfn.ANCHORARRAY('CMA Summary'!B$51),0),3)</f>
        <v>0</v>
      </c>
      <c r="G27" s="267">
        <f>INDEX('CMA Summary'!$B$51:$Q$61,MATCH(ChartData!$D27,_xlfn.ANCHORARRAY('CMA Summary'!B$51),0),4)</f>
        <v>9.0909090909090912E-2</v>
      </c>
      <c r="H27" s="267">
        <f>INDEX('CMA Summary'!$B$51:$Q$61,MATCH(ChartData!$D27,_xlfn.ANCHORARRAY('CMA Summary'!B$51),0),8)</f>
        <v>0</v>
      </c>
      <c r="I27" s="267">
        <f>INDEX('CMA Summary'!$B$51:$Q$61,MATCH(ChartData!$D27,_xlfn.ANCHORARRAY('CMA Summary'!B$51),0),12)</f>
        <v>0</v>
      </c>
      <c r="J27" s="267">
        <f>INDEX('CMA Summary'!$B$51:$Q$61,MATCH(ChartData!$D27,_xlfn.ANCHORARRAY('CMA Summary'!B$51),0),16)</f>
        <v>0</v>
      </c>
    </row>
    <row r="28" spans="2:10">
      <c r="B28" s="550"/>
      <c r="C28" s="281" t="s">
        <v>66</v>
      </c>
      <c r="D28" s="278" t="s">
        <v>20</v>
      </c>
      <c r="F28" s="267">
        <f>INDEX('CMA Summary'!$B$51:$Q$61,MATCH(ChartData!$D28,_xlfn.ANCHORARRAY('CMA Summary'!B$51),0),3)</f>
        <v>0</v>
      </c>
      <c r="G28" s="267">
        <f>INDEX('CMA Summary'!$B$51:$Q$61,MATCH(ChartData!$D28,_xlfn.ANCHORARRAY('CMA Summary'!B$51),0),4)</f>
        <v>9.0909090909090912E-2</v>
      </c>
      <c r="H28" s="267">
        <f>INDEX('CMA Summary'!$B$51:$Q$61,MATCH(ChartData!$D28,_xlfn.ANCHORARRAY('CMA Summary'!B$51),0),8)</f>
        <v>0</v>
      </c>
      <c r="I28" s="267">
        <f>INDEX('CMA Summary'!$B$51:$Q$61,MATCH(ChartData!$D28,_xlfn.ANCHORARRAY('CMA Summary'!B$51),0),12)</f>
        <v>0</v>
      </c>
      <c r="J28" s="267">
        <f>INDEX('CMA Summary'!$B$51:$Q$61,MATCH(ChartData!$D28,_xlfn.ANCHORARRAY('CMA Summary'!B$51),0),16)</f>
        <v>0</v>
      </c>
    </row>
    <row r="29" spans="2:10">
      <c r="B29" s="551" t="s">
        <v>67</v>
      </c>
      <c r="C29" s="282" t="s">
        <v>68</v>
      </c>
      <c r="D29" s="279" t="s">
        <v>22</v>
      </c>
      <c r="E29" s="269"/>
      <c r="F29" s="270">
        <f>INDEX('CMA Summary'!$B$51:$Q$61,MATCH(ChartData!$D29,_xlfn.ANCHORARRAY('CMA Summary'!B$51),0),3)</f>
        <v>0</v>
      </c>
      <c r="G29" s="270">
        <f>INDEX('CMA Summary'!$B$51:$Q$61,MATCH(ChartData!$D29,_xlfn.ANCHORARRAY('CMA Summary'!B$51),0),4)</f>
        <v>9.0909090909090912E-2</v>
      </c>
      <c r="H29" s="270">
        <f>INDEX('CMA Summary'!$B$51:$Q$61,MATCH(ChartData!$D29,_xlfn.ANCHORARRAY('CMA Summary'!B$51),0),8)</f>
        <v>0.24</v>
      </c>
      <c r="I29" s="270">
        <f>INDEX('CMA Summary'!$B$51:$Q$61,MATCH(ChartData!$D29,_xlfn.ANCHORARRAY('CMA Summary'!B$51),0),12)</f>
        <v>0.21347294543090758</v>
      </c>
      <c r="J29" s="270">
        <f>INDEX('CMA Summary'!$B$51:$Q$61,MATCH(ChartData!$D29,_xlfn.ANCHORARRAY('CMA Summary'!B$51),0),16)</f>
        <v>0.18</v>
      </c>
    </row>
    <row r="30" spans="2:10">
      <c r="B30" s="549"/>
      <c r="C30" s="281" t="s">
        <v>69</v>
      </c>
      <c r="D30" s="278" t="s">
        <v>23</v>
      </c>
      <c r="F30" s="267">
        <f>INDEX('CMA Summary'!$B$51:$Q$61,MATCH(ChartData!$D30,_xlfn.ANCHORARRAY('CMA Summary'!B$51),0),3)</f>
        <v>0</v>
      </c>
      <c r="G30" s="267">
        <f>INDEX('CMA Summary'!$B$51:$Q$61,MATCH(ChartData!$D30,_xlfn.ANCHORARRAY('CMA Summary'!B$51),0),4)</f>
        <v>9.0909090909090912E-2</v>
      </c>
      <c r="H30" s="267">
        <f>INDEX('CMA Summary'!$B$51:$Q$61,MATCH(ChartData!$D30,_xlfn.ANCHORARRAY('CMA Summary'!B$51),0),8)</f>
        <v>0</v>
      </c>
      <c r="I30" s="267">
        <f>INDEX('CMA Summary'!$B$51:$Q$61,MATCH(ChartData!$D30,_xlfn.ANCHORARRAY('CMA Summary'!B$51),0),12)</f>
        <v>2.6527054569092417E-2</v>
      </c>
      <c r="J30" s="267">
        <f>INDEX('CMA Summary'!$B$51:$Q$61,MATCH(ChartData!$D30,_xlfn.ANCHORARRAY('CMA Summary'!B$51),0),16)</f>
        <v>0.06</v>
      </c>
    </row>
    <row r="31" spans="2:10">
      <c r="B31" s="549"/>
      <c r="C31" s="281" t="s">
        <v>70</v>
      </c>
      <c r="D31" s="278" t="s">
        <v>24</v>
      </c>
      <c r="F31" s="267">
        <f>INDEX('CMA Summary'!$B$51:$Q$61,MATCH(ChartData!$D31,_xlfn.ANCHORARRAY('CMA Summary'!B$51),0),3)</f>
        <v>0</v>
      </c>
      <c r="G31" s="267">
        <f>INDEX('CMA Summary'!$B$51:$Q$61,MATCH(ChartData!$D31,_xlfn.ANCHORARRAY('CMA Summary'!B$51),0),4)</f>
        <v>9.0909090909090912E-2</v>
      </c>
      <c r="H31" s="267">
        <f>INDEX('CMA Summary'!$B$51:$Q$61,MATCH(ChartData!$D31,_xlfn.ANCHORARRAY('CMA Summary'!B$51),0),8)</f>
        <v>5.9999999999999991E-2</v>
      </c>
      <c r="I31" s="267">
        <f>INDEX('CMA Summary'!$B$51:$Q$61,MATCH(ChartData!$D31,_xlfn.ANCHORARRAY('CMA Summary'!B$51),0),12)</f>
        <v>5.9999999999999991E-2</v>
      </c>
      <c r="J31" s="267">
        <f>INDEX('CMA Summary'!$B$51:$Q$61,MATCH(ChartData!$D31,_xlfn.ANCHORARRAY('CMA Summary'!B$51),0),16)</f>
        <v>0.06</v>
      </c>
    </row>
    <row r="32" spans="2:10">
      <c r="B32" s="549"/>
      <c r="C32" s="281" t="s">
        <v>71</v>
      </c>
      <c r="D32" s="278" t="s">
        <v>25</v>
      </c>
      <c r="F32" s="267">
        <f>INDEX('CMA Summary'!$B$51:$Q$61,MATCH(ChartData!$D32,_xlfn.ANCHORARRAY('CMA Summary'!B$51),0),3)</f>
        <v>0</v>
      </c>
      <c r="G32" s="267">
        <f>INDEX('CMA Summary'!$B$51:$Q$61,MATCH(ChartData!$D32,_xlfn.ANCHORARRAY('CMA Summary'!B$51),0),4)</f>
        <v>9.0909090909090912E-2</v>
      </c>
      <c r="H32" s="267">
        <f>INDEX('CMA Summary'!$B$51:$Q$61,MATCH(ChartData!$D32,_xlfn.ANCHORARRAY('CMA Summary'!B$51),0),8)</f>
        <v>0</v>
      </c>
      <c r="I32" s="267">
        <f>INDEX('CMA Summary'!$B$51:$Q$61,MATCH(ChartData!$D32,_xlfn.ANCHORARRAY('CMA Summary'!B$51),0),12)</f>
        <v>0</v>
      </c>
      <c r="J32" s="267">
        <f>INDEX('CMA Summary'!$B$51:$Q$61,MATCH(ChartData!$D32,_xlfn.ANCHORARRAY('CMA Summary'!B$51),0),16)</f>
        <v>0</v>
      </c>
    </row>
    <row r="33" spans="2:10">
      <c r="B33" s="550"/>
      <c r="C33" s="283" t="s">
        <v>72</v>
      </c>
      <c r="D33" s="280" t="s">
        <v>26</v>
      </c>
      <c r="F33" s="267">
        <f>INDEX('CMA Summary'!$B$51:$Q$61,MATCH(ChartData!$D33,_xlfn.ANCHORARRAY('CMA Summary'!B$51),0),3)</f>
        <v>0</v>
      </c>
      <c r="G33" s="267">
        <f>INDEX('CMA Summary'!$B$51:$Q$61,MATCH(ChartData!$D33,_xlfn.ANCHORARRAY('CMA Summary'!B$51),0),4)</f>
        <v>9.0909090909090912E-2</v>
      </c>
      <c r="H33" s="267">
        <f>INDEX('CMA Summary'!$B$51:$Q$61,MATCH(ChartData!$D33,_xlfn.ANCHORARRAY('CMA Summary'!B$51),0),8)</f>
        <v>0</v>
      </c>
      <c r="I33" s="267">
        <f>INDEX('CMA Summary'!$B$51:$Q$61,MATCH(ChartData!$D33,_xlfn.ANCHORARRAY('CMA Summary'!B$51),0),12)</f>
        <v>0</v>
      </c>
      <c r="J33" s="267">
        <f>INDEX('CMA Summary'!$B$51:$Q$61,MATCH(ChartData!$D33,_xlfn.ANCHORARRAY('CMA Summary'!B$51),0),16)</f>
        <v>0</v>
      </c>
    </row>
    <row r="34" spans="2:10">
      <c r="D34" s="274" t="s">
        <v>73</v>
      </c>
      <c r="E34" s="275"/>
      <c r="F34" s="266">
        <f>SUM(F23:F33)</f>
        <v>1</v>
      </c>
      <c r="G34" s="266">
        <f t="shared" ref="G34:J34" si="3">SUM(G23:G33)</f>
        <v>1.0000000000000002</v>
      </c>
      <c r="H34" s="266">
        <f t="shared" si="3"/>
        <v>0.99999999999999978</v>
      </c>
      <c r="I34" s="266">
        <f t="shared" si="3"/>
        <v>0.99999999999999967</v>
      </c>
      <c r="J34" s="266">
        <f t="shared" si="3"/>
        <v>0.99999999999999978</v>
      </c>
    </row>
  </sheetData>
  <mergeCells count="10">
    <mergeCell ref="F21:J21"/>
    <mergeCell ref="B23:B25"/>
    <mergeCell ref="B26:B28"/>
    <mergeCell ref="B29:B33"/>
    <mergeCell ref="R2:V2"/>
    <mergeCell ref="B4:B6"/>
    <mergeCell ref="B7:B9"/>
    <mergeCell ref="B10:B14"/>
    <mergeCell ref="F2:J2"/>
    <mergeCell ref="L2:P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C86E3-059B-4B1C-A39F-ED8BA2031D02}">
  <sheetPr codeName="Sheet1">
    <tabColor theme="6"/>
  </sheetPr>
  <dimension ref="A1:BM186"/>
  <sheetViews>
    <sheetView showGridLines="0" showRowColHeaders="0" zoomScaleNormal="100" workbookViewId="0">
      <selection activeCell="AQ18" sqref="AQ18"/>
    </sheetView>
  </sheetViews>
  <sheetFormatPr baseColWidth="10" defaultColWidth="0" defaultRowHeight="15" zeroHeight="1" outlineLevelRow="1"/>
  <cols>
    <col min="1" max="1" width="2.6640625" customWidth="1"/>
    <col min="2" max="2" width="22" customWidth="1"/>
    <col min="3" max="3" width="7.5" hidden="1" customWidth="1"/>
    <col min="4" max="5" width="12.33203125" customWidth="1"/>
    <col min="6" max="6" width="8.83203125" hidden="1" customWidth="1"/>
    <col min="7" max="8" width="9.5" hidden="1" customWidth="1"/>
    <col min="9" max="9" width="12.33203125" customWidth="1"/>
    <col min="10" max="12" width="9.5" hidden="1" customWidth="1"/>
    <col min="13" max="13" width="12.33203125" customWidth="1"/>
    <col min="14" max="16" width="9.5" hidden="1" customWidth="1"/>
    <col min="17" max="17" width="12.33203125" customWidth="1"/>
    <col min="18" max="19" width="12.83203125" customWidth="1"/>
    <col min="20" max="20" width="5.6640625" customWidth="1"/>
    <col min="21" max="21" width="27" hidden="1" customWidth="1"/>
    <col min="22" max="22" width="20.6640625" customWidth="1"/>
    <col min="23" max="33" width="5.5" customWidth="1"/>
    <col min="34" max="37" width="7.33203125" customWidth="1"/>
    <col min="38" max="38" width="4.6640625" customWidth="1"/>
    <col min="39" max="39" width="20.6640625" customWidth="1"/>
    <col min="40" max="50" width="6.1640625" customWidth="1"/>
    <col min="51" max="51" width="2.6640625" customWidth="1"/>
    <col min="52" max="52" width="10.33203125" hidden="1" customWidth="1"/>
    <col min="53" max="65" width="0" hidden="1" customWidth="1"/>
    <col min="66" max="16384" width="8.83203125" hidden="1"/>
  </cols>
  <sheetData>
    <row r="1" spans="2:64" ht="8.25" customHeight="1"/>
    <row r="2" spans="2:64" ht="30" customHeight="1">
      <c r="B2" s="591" t="s">
        <v>76</v>
      </c>
      <c r="C2" s="591"/>
      <c r="D2" s="591"/>
      <c r="E2" s="591"/>
      <c r="F2" s="591"/>
      <c r="G2" s="591"/>
      <c r="H2" s="591"/>
      <c r="I2" s="591"/>
      <c r="J2" s="591"/>
      <c r="K2" s="591"/>
      <c r="L2" s="591"/>
      <c r="M2" s="591"/>
      <c r="N2" s="591"/>
      <c r="O2" s="591"/>
      <c r="P2" s="591"/>
      <c r="Q2" s="591"/>
      <c r="R2" s="591"/>
      <c r="S2" s="591"/>
      <c r="T2" s="591"/>
      <c r="U2" s="591"/>
      <c r="V2" s="591"/>
      <c r="W2" s="591"/>
      <c r="X2" s="591"/>
      <c r="Y2" s="591"/>
      <c r="Z2" s="591"/>
      <c r="AA2" s="591"/>
      <c r="AB2" s="591"/>
      <c r="AC2" s="591"/>
      <c r="AD2" s="591"/>
      <c r="AE2" s="591"/>
      <c r="AF2" s="591"/>
      <c r="AG2" s="591"/>
      <c r="AH2" s="591"/>
      <c r="AI2" s="591"/>
      <c r="AJ2" s="591"/>
      <c r="AK2" s="591"/>
      <c r="AL2" s="591"/>
      <c r="AM2" s="591"/>
      <c r="AN2" s="591"/>
      <c r="AO2" s="591"/>
      <c r="AP2" s="591"/>
      <c r="AQ2" s="591"/>
      <c r="AR2" s="591"/>
      <c r="AS2" s="591"/>
      <c r="AT2" s="591"/>
      <c r="AU2" s="591"/>
      <c r="AV2" s="591"/>
      <c r="AW2" s="591"/>
      <c r="AX2" s="591"/>
      <c r="AY2" s="85"/>
    </row>
    <row r="3" spans="2:64" ht="30" customHeight="1" thickBot="1">
      <c r="B3" s="592"/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592"/>
      <c r="R3" s="592"/>
      <c r="S3" s="592"/>
      <c r="T3" s="592"/>
      <c r="U3" s="592"/>
      <c r="V3" s="592"/>
      <c r="W3" s="592"/>
      <c r="X3" s="592"/>
      <c r="Y3" s="592"/>
      <c r="Z3" s="592"/>
      <c r="AA3" s="592"/>
      <c r="AB3" s="592"/>
      <c r="AC3" s="592"/>
      <c r="AD3" s="592"/>
      <c r="AE3" s="592"/>
      <c r="AF3" s="592"/>
      <c r="AG3" s="592"/>
      <c r="AH3" s="592"/>
      <c r="AI3" s="592"/>
      <c r="AJ3" s="592"/>
      <c r="AK3" s="592"/>
      <c r="AL3" s="592"/>
      <c r="AM3" s="592"/>
      <c r="AN3" s="592"/>
      <c r="AO3" s="592"/>
      <c r="AP3" s="592"/>
      <c r="AQ3" s="592"/>
      <c r="AR3" s="592"/>
      <c r="AS3" s="592"/>
      <c r="AT3" s="592"/>
      <c r="AU3" s="592"/>
      <c r="AV3" s="592"/>
      <c r="AW3" s="592"/>
      <c r="AX3" s="592"/>
      <c r="AY3" s="85"/>
    </row>
    <row r="4" spans="2:64" ht="15.75" customHeight="1" thickTop="1">
      <c r="B4" s="151"/>
    </row>
    <row r="5" spans="2:64" ht="30.5" customHeight="1">
      <c r="B5" s="348" t="s">
        <v>77</v>
      </c>
      <c r="C5" s="348"/>
      <c r="D5" s="593" t="s">
        <v>58</v>
      </c>
      <c r="E5" s="593"/>
      <c r="F5" s="107"/>
      <c r="G5" s="107"/>
      <c r="H5" s="107"/>
      <c r="I5" s="41"/>
      <c r="J5" s="41"/>
      <c r="K5" s="41"/>
      <c r="L5" s="41"/>
      <c r="M5" s="41"/>
      <c r="N5" s="41"/>
      <c r="O5" s="41"/>
      <c r="P5" s="41"/>
      <c r="Q5" s="52"/>
      <c r="R5" s="164"/>
      <c r="S5" s="52"/>
      <c r="T5" s="52"/>
      <c r="U5" s="52"/>
      <c r="V5" s="553"/>
      <c r="W5" s="553"/>
      <c r="X5" s="553"/>
      <c r="Y5" s="553"/>
      <c r="Z5" s="553"/>
      <c r="AA5" s="553"/>
      <c r="AB5" s="553"/>
      <c r="AC5" s="553"/>
      <c r="AD5" s="553"/>
      <c r="AE5" s="553"/>
      <c r="AF5" s="553"/>
      <c r="AG5" s="553"/>
      <c r="AH5" s="553"/>
      <c r="AI5" s="553"/>
      <c r="AJ5" s="553"/>
      <c r="AK5" s="553"/>
      <c r="AL5" s="553"/>
      <c r="AM5" s="553"/>
      <c r="AN5" s="553"/>
      <c r="AO5" s="553"/>
      <c r="AP5" s="553"/>
      <c r="AQ5" s="553"/>
      <c r="AR5" s="553"/>
      <c r="AS5" s="553"/>
      <c r="AT5" s="553"/>
      <c r="AU5" s="553"/>
      <c r="AV5" s="553"/>
      <c r="AW5" s="553"/>
      <c r="AX5" s="553"/>
    </row>
    <row r="6" spans="2:64" ht="23.25" customHeight="1" thickBot="1">
      <c r="B6" s="42"/>
      <c r="C6" s="42"/>
      <c r="D6" s="56"/>
      <c r="E6" s="56"/>
      <c r="F6" s="56"/>
      <c r="G6" s="56"/>
      <c r="H6" s="56"/>
      <c r="I6" s="56"/>
      <c r="J6" s="56"/>
      <c r="K6" s="56"/>
      <c r="L6" s="56"/>
      <c r="M6" s="41"/>
      <c r="N6" s="41"/>
      <c r="O6" s="41"/>
      <c r="P6" s="41"/>
      <c r="Q6" s="52"/>
      <c r="R6" s="52"/>
      <c r="S6" s="52"/>
      <c r="T6" s="52"/>
      <c r="U6" s="52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</row>
    <row r="7" spans="2:64" ht="11" hidden="1" customHeight="1" thickBot="1">
      <c r="B7" s="42"/>
      <c r="C7" s="42"/>
      <c r="D7" s="56"/>
      <c r="E7" s="56"/>
      <c r="F7" s="56"/>
      <c r="G7" s="56"/>
      <c r="H7" s="56"/>
      <c r="I7" s="56"/>
      <c r="J7" s="56"/>
      <c r="K7" s="56"/>
      <c r="L7" s="56"/>
      <c r="M7" s="41"/>
      <c r="N7" s="41"/>
      <c r="O7" s="41"/>
      <c r="P7" s="41"/>
      <c r="Q7" s="52"/>
      <c r="R7" s="52"/>
      <c r="S7" s="52"/>
      <c r="T7" s="52"/>
      <c r="U7" s="52"/>
      <c r="W7" s="81" t="str" cm="1">
        <f t="array" ref="W7:AG7">_xlfn.UNIQUE(TRANSPOSE(_xlfn._xlws.FILTER(V13:V23,V13:V23&lt;&gt;"")))</f>
        <v xml:space="preserve">U.S. Large Cap </v>
      </c>
      <c r="X7" s="81" t="str">
        <v xml:space="preserve">Non-U.S. Developed </v>
      </c>
      <c r="Y7" s="81" t="str">
        <v xml:space="preserve">Emerging Markets </v>
      </c>
      <c r="Z7" s="81" t="str">
        <v>U.S. Aggregate Bonds</v>
      </c>
      <c r="AA7" s="81" t="str">
        <v>U.S. High Yield</v>
      </c>
      <c r="AB7" s="81" t="str">
        <v>Emerging Mkt Bonds</v>
      </c>
      <c r="AC7" s="81" t="str">
        <v>Private Equity</v>
      </c>
      <c r="AD7" s="81" t="str">
        <v>Private Credit</v>
      </c>
      <c r="AE7" s="81" t="str">
        <v>Private Real Estate</v>
      </c>
      <c r="AF7" s="81" t="str">
        <v>Infrastructure</v>
      </c>
      <c r="AG7" s="81" t="str">
        <v>Multi-Strategy (HF)</v>
      </c>
      <c r="AH7" s="81"/>
    </row>
    <row r="8" spans="2:64" ht="12" hidden="1" customHeight="1">
      <c r="V8" s="82"/>
      <c r="W8" s="57" t="str">
        <f t="shared" ref="W8:AG8" si="0">IFERROR((INDEX($C$11:$I$24,MATCH(W$7,$B$11:$B$24,0),2)),"")</f>
        <v>US Stocks</v>
      </c>
      <c r="X8" s="58" t="str">
        <f t="shared" si="0"/>
        <v>Non-US Developed</v>
      </c>
      <c r="Y8" s="58" t="str">
        <f t="shared" si="0"/>
        <v>Emerging Markets</v>
      </c>
      <c r="Z8" s="58" t="str">
        <f t="shared" si="0"/>
        <v>Core US Bond</v>
      </c>
      <c r="AA8" s="58" t="str">
        <f t="shared" si="0"/>
        <v>High Yield Bonds</v>
      </c>
      <c r="AB8" s="58" t="str">
        <f t="shared" si="0"/>
        <v>Emerging Market Debt</v>
      </c>
      <c r="AC8" s="58" t="str">
        <f t="shared" si="0"/>
        <v>Diversified Private Equity</v>
      </c>
      <c r="AD8" s="58" t="str">
        <f t="shared" si="0"/>
        <v>Private Debt (UL)</v>
      </c>
      <c r="AE8" s="58" t="str">
        <f t="shared" si="0"/>
        <v>Private Real Estate (UL)</v>
      </c>
      <c r="AF8" s="58" t="str">
        <f t="shared" si="0"/>
        <v>Infrastructure</v>
      </c>
      <c r="AG8" s="58" t="str">
        <f t="shared" si="0"/>
        <v>Diversified Hedge Funds</v>
      </c>
      <c r="AH8" s="59" t="e">
        <f>IF((INDEX($C$11:$I$24,MATCH(AH$7,$B$11:$B$24,0),2))="","",INDEX($C$11:$I$24,MATCH(AH$7,$B$11:$B$24,0),2))</f>
        <v>#N/A</v>
      </c>
      <c r="AI8" s="41"/>
      <c r="AJ8" s="41"/>
      <c r="AK8" s="41"/>
      <c r="AL8" s="41"/>
      <c r="AM8" s="52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</row>
    <row r="9" spans="2:64" ht="30.5" customHeight="1" outlineLevel="1">
      <c r="B9" s="44"/>
      <c r="C9" s="44"/>
      <c r="D9" s="598" t="str">
        <f>D5&amp;" CMA Stats"</f>
        <v>Cliffwater CMA Stats</v>
      </c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60" t="s">
        <v>32</v>
      </c>
      <c r="S9" s="561"/>
      <c r="T9" s="45"/>
      <c r="U9" s="45"/>
      <c r="V9" s="585" t="s">
        <v>78</v>
      </c>
      <c r="W9" s="584" t="str">
        <f>IF(W7="","",W7)</f>
        <v xml:space="preserve">U.S. Large Cap </v>
      </c>
      <c r="X9" s="584" t="str">
        <f t="shared" ref="X9:AG9" si="1">IF(X7="","",X7)</f>
        <v xml:space="preserve">Non-U.S. Developed </v>
      </c>
      <c r="Y9" s="584" t="str">
        <f t="shared" si="1"/>
        <v xml:space="preserve">Emerging Markets </v>
      </c>
      <c r="Z9" s="584" t="str">
        <f t="shared" si="1"/>
        <v>U.S. Aggregate Bonds</v>
      </c>
      <c r="AA9" s="584" t="str">
        <f t="shared" si="1"/>
        <v>U.S. High Yield</v>
      </c>
      <c r="AB9" s="584" t="str">
        <f t="shared" si="1"/>
        <v>Emerging Mkt Bonds</v>
      </c>
      <c r="AC9" s="584" t="str">
        <f t="shared" si="1"/>
        <v>Private Equity</v>
      </c>
      <c r="AD9" s="584" t="str">
        <f t="shared" si="1"/>
        <v>Private Credit</v>
      </c>
      <c r="AE9" s="584" t="str">
        <f t="shared" si="1"/>
        <v>Private Real Estate</v>
      </c>
      <c r="AF9" s="584" t="str">
        <f t="shared" si="1"/>
        <v>Infrastructure</v>
      </c>
      <c r="AG9" s="590" t="str">
        <f t="shared" si="1"/>
        <v>Multi-Strategy (HF)</v>
      </c>
      <c r="AH9" s="597" t="s">
        <v>79</v>
      </c>
      <c r="AI9" s="597" t="s">
        <v>80</v>
      </c>
      <c r="AJ9" s="597" t="s">
        <v>81</v>
      </c>
      <c r="AK9" s="597" t="s">
        <v>82</v>
      </c>
      <c r="AM9" s="585" t="s">
        <v>83</v>
      </c>
      <c r="AN9" s="584" t="str">
        <f>IF(W9="","",W9)</f>
        <v xml:space="preserve">U.S. Large Cap </v>
      </c>
      <c r="AO9" s="584" t="str">
        <f t="shared" ref="AO9:AX9" si="2">IF(X9="","",X9)</f>
        <v xml:space="preserve">Non-U.S. Developed </v>
      </c>
      <c r="AP9" s="584" t="str">
        <f t="shared" si="2"/>
        <v xml:space="preserve">Emerging Markets </v>
      </c>
      <c r="AQ9" s="584" t="str">
        <f t="shared" si="2"/>
        <v>U.S. Aggregate Bonds</v>
      </c>
      <c r="AR9" s="584" t="str">
        <f t="shared" si="2"/>
        <v>U.S. High Yield</v>
      </c>
      <c r="AS9" s="584" t="str">
        <f t="shared" si="2"/>
        <v>Emerging Mkt Bonds</v>
      </c>
      <c r="AT9" s="584" t="str">
        <f t="shared" si="2"/>
        <v>Private Equity</v>
      </c>
      <c r="AU9" s="584" t="str">
        <f t="shared" si="2"/>
        <v>Private Credit</v>
      </c>
      <c r="AV9" s="584" t="str">
        <f t="shared" si="2"/>
        <v>Private Real Estate</v>
      </c>
      <c r="AW9" s="584" t="str">
        <f t="shared" si="2"/>
        <v>Infrastructure</v>
      </c>
      <c r="AX9" s="590" t="str">
        <f t="shared" si="2"/>
        <v>Multi-Strategy (HF)</v>
      </c>
      <c r="BB9" s="120"/>
      <c r="BC9" s="120"/>
      <c r="BD9" s="120"/>
      <c r="BE9" s="120"/>
      <c r="BF9" s="120"/>
      <c r="BG9" s="120"/>
      <c r="BH9" s="120"/>
      <c r="BI9" s="120"/>
      <c r="BJ9" s="120"/>
    </row>
    <row r="10" spans="2:64" ht="35" customHeight="1" outlineLevel="1">
      <c r="B10" s="209"/>
      <c r="C10" s="43"/>
      <c r="D10" s="594" t="s">
        <v>84</v>
      </c>
      <c r="E10" s="595"/>
      <c r="F10" s="595"/>
      <c r="G10" s="595"/>
      <c r="H10" s="595"/>
      <c r="I10" s="596"/>
      <c r="J10" s="350"/>
      <c r="K10" s="350"/>
      <c r="L10" s="350"/>
      <c r="M10" s="350" t="s">
        <v>33</v>
      </c>
      <c r="N10" s="350"/>
      <c r="O10" s="350"/>
      <c r="P10" s="350"/>
      <c r="Q10" s="351" t="s">
        <v>34</v>
      </c>
      <c r="R10" s="352" t="s">
        <v>33</v>
      </c>
      <c r="S10" s="353" t="s">
        <v>34</v>
      </c>
      <c r="T10" s="53"/>
      <c r="U10" s="53"/>
      <c r="V10" s="585"/>
      <c r="W10" s="584"/>
      <c r="X10" s="584"/>
      <c r="Y10" s="584"/>
      <c r="Z10" s="584"/>
      <c r="AA10" s="584"/>
      <c r="AB10" s="584"/>
      <c r="AC10" s="584"/>
      <c r="AD10" s="584"/>
      <c r="AE10" s="584"/>
      <c r="AF10" s="584"/>
      <c r="AG10" s="590"/>
      <c r="AH10" s="597"/>
      <c r="AI10" s="597"/>
      <c r="AJ10" s="597"/>
      <c r="AK10" s="597"/>
      <c r="AM10" s="585"/>
      <c r="AN10" s="584"/>
      <c r="AO10" s="584"/>
      <c r="AP10" s="584"/>
      <c r="AQ10" s="584"/>
      <c r="AR10" s="584"/>
      <c r="AS10" s="584"/>
      <c r="AT10" s="584"/>
      <c r="AU10" s="584"/>
      <c r="AV10" s="584"/>
      <c r="AW10" s="584"/>
      <c r="AX10" s="590"/>
      <c r="BB10" s="120"/>
      <c r="BC10" s="120"/>
      <c r="BD10" s="120"/>
      <c r="BE10" s="120"/>
      <c r="BF10" s="120"/>
      <c r="BG10" s="120"/>
      <c r="BH10" s="120"/>
      <c r="BI10" s="120"/>
      <c r="BJ10" s="120"/>
    </row>
    <row r="11" spans="2:64" ht="17.75" customHeight="1" outlineLevel="1">
      <c r="B11" s="354" t="s">
        <v>13</v>
      </c>
      <c r="C11" s="354"/>
      <c r="D11" s="354"/>
      <c r="E11" s="354"/>
      <c r="F11" s="354"/>
      <c r="G11" s="354"/>
      <c r="H11" s="354"/>
      <c r="I11" s="354"/>
      <c r="J11" s="58"/>
      <c r="K11" s="58"/>
      <c r="L11" s="58"/>
      <c r="M11" s="354"/>
      <c r="N11" s="58"/>
      <c r="O11" s="58"/>
      <c r="P11" s="58"/>
      <c r="Q11" s="354"/>
      <c r="R11" s="355"/>
      <c r="S11" s="356"/>
      <c r="T11" s="20"/>
      <c r="U11" s="20"/>
      <c r="V11" s="585"/>
      <c r="W11" s="584"/>
      <c r="X11" s="584"/>
      <c r="Y11" s="584"/>
      <c r="Z11" s="584"/>
      <c r="AA11" s="584"/>
      <c r="AB11" s="584"/>
      <c r="AC11" s="584"/>
      <c r="AD11" s="584"/>
      <c r="AE11" s="584"/>
      <c r="AF11" s="584"/>
      <c r="AG11" s="590"/>
      <c r="AH11" s="597"/>
      <c r="AI11" s="597"/>
      <c r="AJ11" s="597"/>
      <c r="AK11" s="597"/>
      <c r="AM11" s="585"/>
      <c r="AN11" s="584"/>
      <c r="AO11" s="584"/>
      <c r="AP11" s="584"/>
      <c r="AQ11" s="584"/>
      <c r="AR11" s="584"/>
      <c r="AS11" s="584"/>
      <c r="AT11" s="584"/>
      <c r="AU11" s="584"/>
      <c r="AV11" s="584"/>
      <c r="AW11" s="584"/>
      <c r="AX11" s="590"/>
      <c r="BB11" s="120"/>
      <c r="BC11" s="120"/>
      <c r="BD11" s="120"/>
      <c r="BE11" s="120"/>
      <c r="BF11" s="120"/>
      <c r="BG11" s="120"/>
      <c r="BH11" s="120"/>
      <c r="BI11" s="120"/>
      <c r="BJ11" s="120"/>
    </row>
    <row r="12" spans="2:64" ht="17.75" customHeight="1" outlineLevel="1" thickBot="1">
      <c r="B12" s="357" t="s">
        <v>14</v>
      </c>
      <c r="C12" s="357"/>
      <c r="D12" s="571" t="str">
        <f>INDEX(SelectedAssetClass.Data!$D$7:$I$50,MATCH('CMA Summary'!$B12,SelectedAssetClass.Data!$B$7:$B$50,0),MATCH('CMA Summary'!$D$5,SelectedAssetClass.Data!$D$6:$I$6,0))</f>
        <v>US Stocks</v>
      </c>
      <c r="E12" s="572"/>
      <c r="F12" s="572"/>
      <c r="G12" s="572"/>
      <c r="H12" s="572"/>
      <c r="I12" s="573"/>
      <c r="J12" s="358"/>
      <c r="K12" s="358"/>
      <c r="L12" s="358"/>
      <c r="M12" s="359">
        <f ca="1">IF(R12="",(IFERROR((INDEX(INDIRECT("'"&amp;$D$5&amp;".RawData'!$D$6:$G$125"),MATCH('CMA Summary'!$D12,INDIRECT("'"&amp;$D$5&amp;".RawData'!$C$6:$C$125"),0),MATCH('CMA Summary'!$M$10,INDIRECT("'"&amp;$D$5&amp;".RawData'!$D$5:$H$5"),0))),"-")),R12)</f>
        <v>7.85E-2</v>
      </c>
      <c r="N12" s="360"/>
      <c r="O12" s="360"/>
      <c r="P12" s="360"/>
      <c r="Q12" s="361">
        <f ca="1">IF(S12="",IFERROR((INDEX(INDIRECT("'"&amp;$D$5&amp;".RawData'!$D$6:$G$125"),MATCH('CMA Summary'!$D12,INDIRECT("'"&amp;$D$5&amp;".RawData'!$C$6:$C$125"),0),MATCH('CMA Summary'!$Q$10,INDIRECT("'"&amp;$D$5&amp;".RawData'!$D$5:$H$5"),0))),"-"),S12)</f>
        <v>0.17</v>
      </c>
      <c r="R12" s="362"/>
      <c r="S12" s="363"/>
      <c r="T12" s="14"/>
      <c r="U12" s="14"/>
      <c r="V12" s="586"/>
      <c r="W12" s="584"/>
      <c r="X12" s="584"/>
      <c r="Y12" s="584"/>
      <c r="Z12" s="584"/>
      <c r="AA12" s="584"/>
      <c r="AB12" s="584"/>
      <c r="AC12" s="584"/>
      <c r="AD12" s="584"/>
      <c r="AE12" s="584"/>
      <c r="AF12" s="584"/>
      <c r="AG12" s="590"/>
      <c r="AH12" s="597"/>
      <c r="AI12" s="597"/>
      <c r="AJ12" s="597"/>
      <c r="AK12" s="597"/>
      <c r="AM12" s="586"/>
      <c r="AN12" s="584"/>
      <c r="AO12" s="584"/>
      <c r="AP12" s="584"/>
      <c r="AQ12" s="584"/>
      <c r="AR12" s="584"/>
      <c r="AS12" s="584"/>
      <c r="AT12" s="584"/>
      <c r="AU12" s="584"/>
      <c r="AV12" s="584"/>
      <c r="AW12" s="584"/>
      <c r="AX12" s="590"/>
    </row>
    <row r="13" spans="2:64" ht="17.75" customHeight="1" outlineLevel="1">
      <c r="B13" s="364" t="s">
        <v>15</v>
      </c>
      <c r="C13" s="364"/>
      <c r="D13" s="568" t="str">
        <f>INDEX(SelectedAssetClass.Data!$D$7:$I$50,MATCH('CMA Summary'!$B13,SelectedAssetClass.Data!$B$7:$B$50,0),MATCH('CMA Summary'!$D$5,SelectedAssetClass.Data!$D$6:$I$6,0))</f>
        <v>Non-US Developed</v>
      </c>
      <c r="E13" s="569"/>
      <c r="F13" s="569"/>
      <c r="G13" s="569"/>
      <c r="H13" s="569"/>
      <c r="I13" s="570"/>
      <c r="J13" s="358"/>
      <c r="K13" s="358"/>
      <c r="L13" s="358"/>
      <c r="M13" s="365">
        <f ca="1">IF(R13="",IFERROR((INDEX(INDIRECT("'"&amp;$D$5&amp;".RawData'!$D$6:$G$125"),MATCH('CMA Summary'!$D13,INDIRECT("'"&amp;$D$5&amp;".RawData'!$C$6:$C$125"),0),MATCH('CMA Summary'!$M$10,INDIRECT("'"&amp;$D$5&amp;".RawData'!$D$5:$H$5"),0))),"-"),R13)</f>
        <v>8.0199999999999994E-2</v>
      </c>
      <c r="N13" s="360"/>
      <c r="O13" s="360"/>
      <c r="P13" s="360"/>
      <c r="Q13" s="366">
        <f ca="1">IF(S13="",IFERROR((INDEX(INDIRECT("'"&amp;$D$5&amp;".RawData'!$D$6:$G$125"),MATCH('CMA Summary'!$D13,INDIRECT("'"&amp;$D$5&amp;".RawData'!$C$6:$C$125"),0),MATCH('CMA Summary'!$Q$10,INDIRECT("'"&amp;$D$5&amp;".RawData'!$D$5:$H$5"),0))),"-"),S13)</f>
        <v>0.18</v>
      </c>
      <c r="R13" s="367"/>
      <c r="S13" s="368"/>
      <c r="T13" s="14"/>
      <c r="U13" s="14" t="str">
        <f t="shared" ref="U13:U23" si="3">IFERROR((INDEX($C$11:$I$24,MATCH($V13,$B$11:$B$24,0),2)),"")</f>
        <v>US Stocks</v>
      </c>
      <c r="V13" s="349" t="str" cm="1">
        <f t="array" ref="V13:V23">_xlfn.UNIQUE(_xlfn._xlws.FILTER($B$11:$B$24,($B$11:$B$24&lt;&gt;"Equity")*($B$11:$B$24&lt;&gt;"Fixed Income")*($B$11:$B$24&lt;&gt;"Alternatives")*(D11:D24&lt;&gt;"N/A")*($B$11:$B$24&lt;&gt;"")))</f>
        <v xml:space="preserve">U.S. Large Cap </v>
      </c>
      <c r="W13" s="369">
        <f ca="1">IFERROR((INDEX(INDIRECT("'"&amp;$D$5&amp;".RawData'!$J$6:$CZ$125"),MATCH('CMA Summary'!$U13,INDIRECT("'"&amp;$D$5&amp;".RawData'!$I$6:$I$125"),0),MATCH('CMA Summary'!W$8,INDIRECT("'"&amp;$D$5&amp;".RawData'!$J$5:$CZ$5"),0))),"")</f>
        <v>1</v>
      </c>
      <c r="X13" s="575"/>
      <c r="Y13" s="575"/>
      <c r="Z13" s="575"/>
      <c r="AA13" s="575"/>
      <c r="AB13" s="575"/>
      <c r="AC13" s="575"/>
      <c r="AD13" s="575"/>
      <c r="AE13" s="575"/>
      <c r="AF13" s="575"/>
      <c r="AG13" s="576"/>
      <c r="AH13" s="370" cm="1">
        <f t="array" aca="1" ref="AH13:AH23" ca="1">_xlfn._xlws.FILTER(Q11:Q24,($B$11:$B$24&lt;&gt;"Equity")*($B$11:$B$24&lt;&gt;"Fixed Income")*($B$11:$B$24&lt;&gt;"Alternatives")*(D11:D24&lt;&gt;"N/A")*($B$11:$B$24&lt;&gt;""))</f>
        <v>0.17</v>
      </c>
      <c r="AI13" s="370">
        <f ca="1">IF($AH13="","",$AH13/SQRT(12))</f>
        <v>4.9074772881118195E-2</v>
      </c>
      <c r="AJ13" s="371">
        <f t="shared" ref="AJ13:AJ23" ca="1" si="4">IF((AK13)="","",AK13*12)</f>
        <v>2.8900000000000009E-2</v>
      </c>
      <c r="AK13" s="371">
        <f t="shared" ref="AK13:AK21" ca="1" si="5">IF(AH13="","",(AH13/SQRT(12))^2)</f>
        <v>2.4083333333333339E-3</v>
      </c>
      <c r="AM13" s="349" t="str" cm="1">
        <f t="array" ref="AM13:AM23">_xlfn.UNIQUE(_xlfn._xlws.FILTER(V13:V23,V13:V23&lt;&gt;""))</f>
        <v xml:space="preserve">U.S. Large Cap </v>
      </c>
      <c r="AN13" s="75">
        <f ca="1">IFERROR($AJ$13,"-")</f>
        <v>2.8900000000000009E-2</v>
      </c>
      <c r="AO13" s="62">
        <f ca="1">AN14</f>
        <v>2.6010000000000002E-2</v>
      </c>
      <c r="AP13" s="62">
        <f ca="1">AN15</f>
        <v>2.8900000000000006E-3</v>
      </c>
      <c r="AQ13" s="62">
        <f ca="1">AN16</f>
        <v>0</v>
      </c>
      <c r="AR13" s="62">
        <f ca="1">AN17</f>
        <v>1.2155000000000003E-2</v>
      </c>
      <c r="AS13" s="62">
        <f ca="1">AN18</f>
        <v>6.5450000000000022E-3</v>
      </c>
      <c r="AT13" s="62">
        <f ca="1">AN19</f>
        <v>2.7200000000000009E-2</v>
      </c>
      <c r="AU13" s="62">
        <f ca="1">AN20</f>
        <v>4.4200000000000012E-3</v>
      </c>
      <c r="AV13" s="62">
        <f ca="1">AN21</f>
        <v>1.2750000000000001E-2</v>
      </c>
      <c r="AW13" s="62">
        <f ca="1">AN22</f>
        <v>1.4280000000000001E-2</v>
      </c>
      <c r="AX13" s="63">
        <f ca="1">AN23</f>
        <v>5.2360000000000011E-3</v>
      </c>
      <c r="BB13" cm="1">
        <f t="array" aca="1" ref="BB13:BL23" ca="1">_xlfn._xlws.FILTER(AN13:AX23,(AX13:AX23&lt;&gt;""),_xlfn._xlws.FILTER(AN13:AW23,(AW13:AW23&lt;&gt;""),_xlfn._xlws.FILTER(AN13:AV23,(AV13:AV23&lt;&gt;""),_xlfn._xlws.FILTER(AN13:AU23,(AU13:AU23&lt;&gt;""),AN13:AT23))))</f>
        <v>2.8900000000000009E-2</v>
      </c>
      <c r="BC13">
        <f ca="1"/>
        <v>2.6010000000000002E-2</v>
      </c>
      <c r="BD13">
        <f ca="1"/>
        <v>2.8900000000000006E-3</v>
      </c>
      <c r="BE13">
        <f ca="1"/>
        <v>0</v>
      </c>
      <c r="BF13">
        <f ca="1"/>
        <v>1.2155000000000003E-2</v>
      </c>
      <c r="BG13">
        <f ca="1"/>
        <v>6.5450000000000022E-3</v>
      </c>
      <c r="BH13">
        <f ca="1"/>
        <v>2.7200000000000009E-2</v>
      </c>
      <c r="BI13">
        <f ca="1"/>
        <v>4.4200000000000012E-3</v>
      </c>
      <c r="BJ13">
        <f ca="1"/>
        <v>1.2750000000000001E-2</v>
      </c>
      <c r="BK13">
        <f ca="1"/>
        <v>1.4280000000000001E-2</v>
      </c>
      <c r="BL13">
        <f ca="1"/>
        <v>5.2360000000000011E-3</v>
      </c>
    </row>
    <row r="14" spans="2:64" ht="17.75" customHeight="1" outlineLevel="1">
      <c r="B14" s="357" t="s">
        <v>16</v>
      </c>
      <c r="C14" s="357"/>
      <c r="D14" s="571" t="str">
        <f>INDEX(SelectedAssetClass.Data!$D$7:$I$50,MATCH('CMA Summary'!$B14,SelectedAssetClass.Data!$B$7:$B$50,0),MATCH('CMA Summary'!$D$5,SelectedAssetClass.Data!$D$6:$I$6,0))</f>
        <v>Emerging Markets</v>
      </c>
      <c r="E14" s="572"/>
      <c r="F14" s="572"/>
      <c r="G14" s="572"/>
      <c r="H14" s="572"/>
      <c r="I14" s="573"/>
      <c r="J14" s="358"/>
      <c r="K14" s="358"/>
      <c r="L14" s="358"/>
      <c r="M14" s="359">
        <f ca="1">IF(R14="",IFERROR((INDEX(INDIRECT("'"&amp;$D$5&amp;".RawData'!$D$6:$G$125"),MATCH('CMA Summary'!$D14,INDIRECT("'"&amp;$D$5&amp;".RawData'!$C$6:$C$125"),0),MATCH('CMA Summary'!$M$10,INDIRECT("'"&amp;$D$5&amp;".RawData'!$D$5:$H$5"),0))),"-"),R14)</f>
        <v>0.10279999999999999</v>
      </c>
      <c r="N14" s="360"/>
      <c r="O14" s="360"/>
      <c r="P14" s="360"/>
      <c r="Q14" s="361">
        <f ca="1">IF(S14="",IFERROR((INDEX(INDIRECT("'"&amp;$D$5&amp;".RawData'!$D$6:$G$125"),MATCH('CMA Summary'!$D14,INDIRECT("'"&amp;$D$5&amp;".RawData'!$C$6:$C$125"),0),MATCH('CMA Summary'!$Q$10,INDIRECT("'"&amp;$D$5&amp;".RawData'!$D$5:$H$5"),0))),"-"),S14)</f>
        <v>0.02</v>
      </c>
      <c r="R14" s="362"/>
      <c r="S14" s="363"/>
      <c r="T14" s="14"/>
      <c r="U14" s="14" t="str">
        <f t="shared" si="3"/>
        <v>Non-US Developed</v>
      </c>
      <c r="V14" s="349" t="str">
        <v xml:space="preserve">Non-U.S. Developed </v>
      </c>
      <c r="W14" s="372">
        <f ca="1">IFERROR((INDEX(INDIRECT("'"&amp;$D$5&amp;".RawData'!$J$6:$CZ$125"),MATCH('CMA Summary'!$U14,INDIRECT("'"&amp;$D$5&amp;".RawData'!$I$6:$I$125"),0),MATCH('CMA Summary'!W$8,INDIRECT("'"&amp;$D$5&amp;".RawData'!$J$5:$CZ$5"),0))),"")</f>
        <v>0.85</v>
      </c>
      <c r="X14" s="373">
        <f ca="1">IFERROR((INDEX(INDIRECT("'"&amp;$D$5&amp;".RawData'!$J$6:$CZ$125"),MATCH('CMA Summary'!$U14,INDIRECT("'"&amp;$D$5&amp;".RawData'!$I$6:$I$125"),0),MATCH('CMA Summary'!X$8,INDIRECT("'"&amp;$D$5&amp;".RawData'!$J$5:$CZ$5"),0))),"")</f>
        <v>1</v>
      </c>
      <c r="Y14" s="579"/>
      <c r="Z14" s="579"/>
      <c r="AA14" s="579"/>
      <c r="AB14" s="579"/>
      <c r="AC14" s="579"/>
      <c r="AD14" s="579"/>
      <c r="AE14" s="579"/>
      <c r="AF14" s="579"/>
      <c r="AG14" s="580"/>
      <c r="AH14" s="374">
        <f ca="1"/>
        <v>0.18</v>
      </c>
      <c r="AI14" s="374">
        <f t="shared" ref="AI14:AI23" ca="1" si="6">IF($AH14="","",$AH14/SQRT(12))</f>
        <v>5.1961524227066319E-2</v>
      </c>
      <c r="AJ14" s="375">
        <f t="shared" ca="1" si="4"/>
        <v>3.2399999999999998E-2</v>
      </c>
      <c r="AK14" s="375">
        <f t="shared" ca="1" si="5"/>
        <v>2.7000000000000001E-3</v>
      </c>
      <c r="AM14" s="349" t="str">
        <v xml:space="preserve">Non-U.S. Developed </v>
      </c>
      <c r="AN14" s="64">
        <f ca="1">IFERROR((W14*$AI14*$AI$13*12),"")</f>
        <v>2.6010000000000002E-2</v>
      </c>
      <c r="AO14" s="76">
        <f ca="1">IFERROR($AJ$14,"-")</f>
        <v>3.2399999999999998E-2</v>
      </c>
      <c r="AP14" s="65">
        <f ca="1">AO15</f>
        <v>2.8800000000000002E-3</v>
      </c>
      <c r="AQ14" s="65">
        <f ca="1">AO16</f>
        <v>0</v>
      </c>
      <c r="AR14" s="65">
        <f ca="1">AO17</f>
        <v>1.188E-2</v>
      </c>
      <c r="AS14" s="65">
        <f ca="1">AO18</f>
        <v>7.5600000000000007E-3</v>
      </c>
      <c r="AT14" s="65">
        <f ca="1">AO19</f>
        <v>2.52E-2</v>
      </c>
      <c r="AU14" s="65">
        <f ca="1">AO20</f>
        <v>4.3200000000000001E-3</v>
      </c>
      <c r="AV14" s="65">
        <f ca="1">AO21</f>
        <v>1.2149999999999999E-2</v>
      </c>
      <c r="AW14" s="65">
        <f ca="1">AO22</f>
        <v>1.404E-2</v>
      </c>
      <c r="AX14" s="66">
        <f ca="1">AO23</f>
        <v>5.5440000000000003E-3</v>
      </c>
      <c r="BB14">
        <f ca="1"/>
        <v>2.6010000000000002E-2</v>
      </c>
      <c r="BC14">
        <f ca="1"/>
        <v>3.2399999999999998E-2</v>
      </c>
      <c r="BD14">
        <f ca="1"/>
        <v>2.8800000000000002E-3</v>
      </c>
      <c r="BE14">
        <f ca="1"/>
        <v>0</v>
      </c>
      <c r="BF14">
        <f ca="1"/>
        <v>1.188E-2</v>
      </c>
      <c r="BG14">
        <f ca="1"/>
        <v>7.5600000000000007E-3</v>
      </c>
      <c r="BH14">
        <f ca="1"/>
        <v>2.52E-2</v>
      </c>
      <c r="BI14">
        <f ca="1"/>
        <v>4.3200000000000001E-3</v>
      </c>
      <c r="BJ14">
        <f ca="1"/>
        <v>1.2149999999999999E-2</v>
      </c>
      <c r="BK14">
        <f ca="1"/>
        <v>1.404E-2</v>
      </c>
      <c r="BL14">
        <f ca="1"/>
        <v>5.5440000000000003E-3</v>
      </c>
    </row>
    <row r="15" spans="2:64" ht="17.75" customHeight="1" outlineLevel="1">
      <c r="B15" s="354" t="s">
        <v>17</v>
      </c>
      <c r="C15" s="354"/>
      <c r="D15" s="354"/>
      <c r="E15" s="354"/>
      <c r="F15" s="354"/>
      <c r="G15" s="354"/>
      <c r="H15" s="354"/>
      <c r="I15" s="354"/>
      <c r="J15" s="58"/>
      <c r="K15" s="58"/>
      <c r="L15" s="58"/>
      <c r="M15" s="354"/>
      <c r="N15" s="58"/>
      <c r="O15" s="58"/>
      <c r="P15" s="58"/>
      <c r="Q15" s="354"/>
      <c r="R15" s="355"/>
      <c r="S15" s="356"/>
      <c r="T15" s="14"/>
      <c r="U15" s="14" t="str">
        <f t="shared" si="3"/>
        <v>Emerging Markets</v>
      </c>
      <c r="V15" s="349" t="str">
        <v xml:space="preserve">Emerging Markets </v>
      </c>
      <c r="W15" s="376">
        <f ca="1">IFERROR((INDEX(INDIRECT("'"&amp;$D$5&amp;".RawData'!$J$6:$CZ$125"),MATCH('CMA Summary'!$U15,INDIRECT("'"&amp;$D$5&amp;".RawData'!$I$6:$I$125"),0),MATCH('CMA Summary'!W$8,INDIRECT("'"&amp;$D$5&amp;".RawData'!$J$5:$CZ$5"),0))),"")</f>
        <v>0.85</v>
      </c>
      <c r="X15" s="376">
        <f ca="1">IFERROR((INDEX(INDIRECT("'"&amp;$D$5&amp;".RawData'!$J$6:$CZ$125"),MATCH('CMA Summary'!$U15,INDIRECT("'"&amp;$D$5&amp;".RawData'!$I$6:$I$125"),0),MATCH('CMA Summary'!X$8,INDIRECT("'"&amp;$D$5&amp;".RawData'!$J$5:$CZ$5"),0))),"")</f>
        <v>0.8</v>
      </c>
      <c r="Y15" s="369">
        <f ca="1">IFERROR((INDEX(INDIRECT("'"&amp;$D$5&amp;".RawData'!$J$6:$CZ$125"),MATCH('CMA Summary'!$U15,INDIRECT("'"&amp;$D$5&amp;".RawData'!$I$6:$I$125"),0),MATCH('CMA Summary'!Y$8,INDIRECT("'"&amp;$D$5&amp;".RawData'!$J$5:$CZ$5"),0))),"")</f>
        <v>1</v>
      </c>
      <c r="Z15" s="575"/>
      <c r="AA15" s="575"/>
      <c r="AB15" s="575"/>
      <c r="AC15" s="575"/>
      <c r="AD15" s="575"/>
      <c r="AE15" s="575"/>
      <c r="AF15" s="575"/>
      <c r="AG15" s="576"/>
      <c r="AH15" s="370">
        <f ca="1"/>
        <v>0.02</v>
      </c>
      <c r="AI15" s="370">
        <f t="shared" ca="1" si="6"/>
        <v>5.773502691896258E-3</v>
      </c>
      <c r="AJ15" s="371">
        <f t="shared" ca="1" si="4"/>
        <v>4.0000000000000002E-4</v>
      </c>
      <c r="AK15" s="371">
        <f t="shared" ca="1" si="5"/>
        <v>3.3333333333333335E-5</v>
      </c>
      <c r="AM15" s="349" t="str">
        <v xml:space="preserve">Emerging Markets </v>
      </c>
      <c r="AN15" s="61">
        <f t="shared" ref="AN15:AN23" ca="1" si="7">IFERROR((W15*$AI15*$AI$13*12),"")</f>
        <v>2.8900000000000006E-3</v>
      </c>
      <c r="AO15" s="61">
        <f ca="1">IFERROR((X15*$AI15*$AI$14*12),"")</f>
        <v>2.8800000000000002E-3</v>
      </c>
      <c r="AP15" s="75">
        <f ca="1">IFERROR($AJ$15,"-")</f>
        <v>4.0000000000000002E-4</v>
      </c>
      <c r="AQ15" s="62">
        <f ca="1">AP16</f>
        <v>4.0000000000000003E-5</v>
      </c>
      <c r="AR15" s="62">
        <f ca="1">AP17</f>
        <v>1.3200000000000002E-3</v>
      </c>
      <c r="AS15" s="62">
        <f ca="1">AP18</f>
        <v>8.4000000000000003E-4</v>
      </c>
      <c r="AT15" s="62">
        <f ca="1">AP19</f>
        <v>2.4000000000000002E-3</v>
      </c>
      <c r="AU15" s="62">
        <f ca="1">AP20</f>
        <v>4.8000000000000007E-4</v>
      </c>
      <c r="AV15" s="62">
        <f ca="1">AP21</f>
        <v>1.2000000000000001E-3</v>
      </c>
      <c r="AW15" s="62">
        <f ca="1">AP22</f>
        <v>1.3200000000000002E-3</v>
      </c>
      <c r="AX15" s="63">
        <f ca="1">AP23</f>
        <v>5.7200000000000024E-4</v>
      </c>
      <c r="BB15">
        <f ca="1"/>
        <v>2.8900000000000006E-3</v>
      </c>
      <c r="BC15">
        <f ca="1"/>
        <v>2.8800000000000002E-3</v>
      </c>
      <c r="BD15">
        <f ca="1"/>
        <v>4.0000000000000002E-4</v>
      </c>
      <c r="BE15">
        <f ca="1"/>
        <v>4.0000000000000003E-5</v>
      </c>
      <c r="BF15">
        <f ca="1"/>
        <v>1.3200000000000002E-3</v>
      </c>
      <c r="BG15">
        <f ca="1"/>
        <v>8.4000000000000003E-4</v>
      </c>
      <c r="BH15">
        <f ca="1"/>
        <v>2.4000000000000002E-3</v>
      </c>
      <c r="BI15">
        <f ca="1"/>
        <v>4.8000000000000007E-4</v>
      </c>
      <c r="BJ15">
        <f ca="1"/>
        <v>1.2000000000000001E-3</v>
      </c>
      <c r="BK15">
        <f ca="1"/>
        <v>1.3200000000000002E-3</v>
      </c>
      <c r="BL15">
        <f ca="1"/>
        <v>5.7200000000000024E-4</v>
      </c>
    </row>
    <row r="16" spans="2:64" ht="17.75" customHeight="1" outlineLevel="1">
      <c r="B16" s="357" t="s">
        <v>18</v>
      </c>
      <c r="C16" s="357"/>
      <c r="D16" s="571" t="str">
        <f>INDEX(SelectedAssetClass.Data!$D$7:$I$50,MATCH('CMA Summary'!$B16,SelectedAssetClass.Data!$B$7:$B$50,0),MATCH('CMA Summary'!$D$5,SelectedAssetClass.Data!$D$6:$I$6,0))</f>
        <v>Core US Bond</v>
      </c>
      <c r="E16" s="572"/>
      <c r="F16" s="572"/>
      <c r="G16" s="572"/>
      <c r="H16" s="572"/>
      <c r="I16" s="573"/>
      <c r="J16" s="358"/>
      <c r="K16" s="358"/>
      <c r="L16" s="358"/>
      <c r="M16" s="359">
        <f ca="1">IF(R16="",IFERROR((INDEX(INDIRECT("'"&amp;$D$5&amp;".RawData'!$D$6:$G$125"),MATCH('CMA Summary'!$D16,INDIRECT("'"&amp;$D$5&amp;".RawData'!$C$6:$C$125"),0),MATCH('CMA Summary'!$M$10,INDIRECT("'"&amp;$D$5&amp;".RawData'!$D$5:$H$5"),0))),"-"),R16)</f>
        <v>1.83E-2</v>
      </c>
      <c r="N16" s="360"/>
      <c r="O16" s="360"/>
      <c r="P16" s="360"/>
      <c r="Q16" s="361">
        <f ca="1">IF(S16="",IFERROR((INDEX(INDIRECT("'"&amp;$D$5&amp;".RawData'!$D$6:$G$125"),MATCH('CMA Summary'!$D16,INDIRECT("'"&amp;$D$5&amp;".RawData'!$C$6:$C$125"),0),MATCH('CMA Summary'!$Q$10,INDIRECT("'"&amp;$D$5&amp;".RawData'!$D$5:$H$5"),0))),"-"),S16)</f>
        <v>0.04</v>
      </c>
      <c r="R16" s="362"/>
      <c r="S16" s="363"/>
      <c r="T16" s="20"/>
      <c r="U16" s="14" t="str">
        <f t="shared" si="3"/>
        <v>Core US Bond</v>
      </c>
      <c r="V16" s="349" t="str">
        <v>U.S. Aggregate Bonds</v>
      </c>
      <c r="W16" s="372">
        <f ca="1">IFERROR((INDEX(INDIRECT("'"&amp;$D$5&amp;".RawData'!$J$6:$CZ$125"),MATCH('CMA Summary'!$U16,INDIRECT("'"&amp;$D$5&amp;".RawData'!$I$6:$I$125"),0),MATCH('CMA Summary'!W$8,INDIRECT("'"&amp;$D$5&amp;".RawData'!$J$5:$CZ$5"),0))),"")</f>
        <v>0</v>
      </c>
      <c r="X16" s="372">
        <f ca="1">IFERROR((INDEX(INDIRECT("'"&amp;$D$5&amp;".RawData'!$J$6:$CZ$125"),MATCH('CMA Summary'!$U16,INDIRECT("'"&amp;$D$5&amp;".RawData'!$I$6:$I$125"),0),MATCH('CMA Summary'!X$8,INDIRECT("'"&amp;$D$5&amp;".RawData'!$J$5:$CZ$5"),0))),"")</f>
        <v>0</v>
      </c>
      <c r="Y16" s="372">
        <f ca="1">IFERROR((INDEX(INDIRECT("'"&amp;$D$5&amp;".RawData'!$J$6:$CZ$125"),MATCH('CMA Summary'!$U16,INDIRECT("'"&amp;$D$5&amp;".RawData'!$I$6:$I$125"),0),MATCH('CMA Summary'!Y$8,INDIRECT("'"&amp;$D$5&amp;".RawData'!$J$5:$CZ$5"),0))),"")</f>
        <v>0.05</v>
      </c>
      <c r="Z16" s="373">
        <f ca="1">IFERROR((INDEX(INDIRECT("'"&amp;$D$5&amp;".RawData'!$J$6:$CZ$125"),MATCH('CMA Summary'!$U16,INDIRECT("'"&amp;$D$5&amp;".RawData'!$I$6:$I$125"),0),MATCH('CMA Summary'!Z$8,INDIRECT("'"&amp;$D$5&amp;".RawData'!$J$5:$CZ$5"),0))),"")</f>
        <v>1</v>
      </c>
      <c r="AA16" s="579"/>
      <c r="AB16" s="579"/>
      <c r="AC16" s="579"/>
      <c r="AD16" s="579"/>
      <c r="AE16" s="579"/>
      <c r="AF16" s="579"/>
      <c r="AG16" s="580"/>
      <c r="AH16" s="374">
        <f ca="1"/>
        <v>0.04</v>
      </c>
      <c r="AI16" s="374">
        <f t="shared" ca="1" si="6"/>
        <v>1.1547005383792516E-2</v>
      </c>
      <c r="AJ16" s="375">
        <f t="shared" ca="1" si="4"/>
        <v>1.6000000000000001E-3</v>
      </c>
      <c r="AK16" s="375">
        <f t="shared" ca="1" si="5"/>
        <v>1.3333333333333334E-4</v>
      </c>
      <c r="AM16" s="349" t="str">
        <v>U.S. Aggregate Bonds</v>
      </c>
      <c r="AN16" s="64">
        <f t="shared" ca="1" si="7"/>
        <v>0</v>
      </c>
      <c r="AO16" s="64">
        <f t="shared" ref="AO16:AO23" ca="1" si="8">IFERROR((X16*$AI16*$AI$14*12),"")</f>
        <v>0</v>
      </c>
      <c r="AP16" s="64">
        <f ca="1">IFERROR((Y16*$AI16*$AI$15*12),"")</f>
        <v>4.0000000000000003E-5</v>
      </c>
      <c r="AQ16" s="76">
        <f ca="1">IFERROR($AJ$16,"-")</f>
        <v>1.6000000000000001E-3</v>
      </c>
      <c r="AR16" s="67">
        <f ca="1">AQ17</f>
        <v>8.3600000000000026E-4</v>
      </c>
      <c r="AS16" s="65">
        <f ca="1">AQ18</f>
        <v>1.5400000000000001E-3</v>
      </c>
      <c r="AT16" s="65">
        <f ca="1">AQ19</f>
        <v>0</v>
      </c>
      <c r="AU16" s="65">
        <f ca="1">AQ20</f>
        <v>3.0400000000000002E-4</v>
      </c>
      <c r="AV16" s="65">
        <f ca="1">AQ21</f>
        <v>0</v>
      </c>
      <c r="AW16" s="65">
        <f ca="1">AQ22</f>
        <v>0</v>
      </c>
      <c r="AX16" s="66">
        <f ca="1">AQ23</f>
        <v>0</v>
      </c>
      <c r="BB16">
        <f ca="1"/>
        <v>0</v>
      </c>
      <c r="BC16">
        <f ca="1"/>
        <v>0</v>
      </c>
      <c r="BD16">
        <f ca="1"/>
        <v>4.0000000000000003E-5</v>
      </c>
      <c r="BE16">
        <f ca="1"/>
        <v>1.6000000000000001E-3</v>
      </c>
      <c r="BF16">
        <f ca="1"/>
        <v>8.3600000000000026E-4</v>
      </c>
      <c r="BG16">
        <f ca="1"/>
        <v>1.5400000000000001E-3</v>
      </c>
      <c r="BH16">
        <f ca="1"/>
        <v>0</v>
      </c>
      <c r="BI16">
        <f ca="1"/>
        <v>3.0400000000000002E-4</v>
      </c>
      <c r="BJ16">
        <f ca="1"/>
        <v>0</v>
      </c>
      <c r="BK16">
        <f ca="1"/>
        <v>0</v>
      </c>
      <c r="BL16">
        <f ca="1"/>
        <v>0</v>
      </c>
    </row>
    <row r="17" spans="2:64" ht="17.75" customHeight="1" outlineLevel="1">
      <c r="B17" s="364" t="s">
        <v>19</v>
      </c>
      <c r="C17" s="364"/>
      <c r="D17" s="568" t="str">
        <f>INDEX(SelectedAssetClass.Data!$D$7:$I$50,MATCH('CMA Summary'!$B17,SelectedAssetClass.Data!$B$7:$B$50,0),MATCH('CMA Summary'!$D$5,SelectedAssetClass.Data!$D$6:$I$6,0))</f>
        <v>High Yield Bonds</v>
      </c>
      <c r="E17" s="569"/>
      <c r="F17" s="569"/>
      <c r="G17" s="569"/>
      <c r="H17" s="569"/>
      <c r="I17" s="570"/>
      <c r="J17" s="358"/>
      <c r="K17" s="358"/>
      <c r="L17" s="358"/>
      <c r="M17" s="365">
        <f ca="1">IF(R17="",IFERROR((INDEX(INDIRECT("'"&amp;$D$5&amp;".RawData'!$D$6:$G$125"),MATCH('CMA Summary'!$D17,INDIRECT("'"&amp;$D$5&amp;".RawData'!$C$6:$C$125"),0),MATCH('CMA Summary'!$M$10,INDIRECT("'"&amp;$D$5&amp;".RawData'!$D$5:$H$5"),0))),"-"),R17)</f>
        <v>4.7100000000000003E-2</v>
      </c>
      <c r="N17" s="360"/>
      <c r="O17" s="360"/>
      <c r="P17" s="360"/>
      <c r="Q17" s="366">
        <f ca="1">IF(S17="",IFERROR((INDEX(INDIRECT("'"&amp;$D$5&amp;".RawData'!$D$6:$G$125"),MATCH('CMA Summary'!$D17,INDIRECT("'"&amp;$D$5&amp;".RawData'!$C$6:$C$125"),0),MATCH('CMA Summary'!$Q$10,INDIRECT("'"&amp;$D$5&amp;".RawData'!$D$5:$H$5"),0))),"-"),S17)</f>
        <v>0.11</v>
      </c>
      <c r="R17" s="367"/>
      <c r="S17" s="368"/>
      <c r="T17" s="14"/>
      <c r="U17" s="14" t="str">
        <f t="shared" si="3"/>
        <v>High Yield Bonds</v>
      </c>
      <c r="V17" s="349" t="str">
        <v>U.S. High Yield</v>
      </c>
      <c r="W17" s="376">
        <f ca="1">IFERROR((INDEX(INDIRECT("'"&amp;$D$5&amp;".RawData'!$J$6:$CZ$125"),MATCH('CMA Summary'!$U17,INDIRECT("'"&amp;$D$5&amp;".RawData'!$I$6:$I$125"),0),MATCH('CMA Summary'!W$8,INDIRECT("'"&amp;$D$5&amp;".RawData'!$J$5:$CZ$5"),0))),"")</f>
        <v>0.65</v>
      </c>
      <c r="X17" s="376">
        <f ca="1">IFERROR((INDEX(INDIRECT("'"&amp;$D$5&amp;".RawData'!$J$6:$CZ$125"),MATCH('CMA Summary'!$U17,INDIRECT("'"&amp;$D$5&amp;".RawData'!$I$6:$I$125"),0),MATCH('CMA Summary'!X$8,INDIRECT("'"&amp;$D$5&amp;".RawData'!$J$5:$CZ$5"),0))),"")</f>
        <v>0.6</v>
      </c>
      <c r="Y17" s="376">
        <f ca="1">IFERROR((INDEX(INDIRECT("'"&amp;$D$5&amp;".RawData'!$J$6:$CZ$125"),MATCH('CMA Summary'!$U17,INDIRECT("'"&amp;$D$5&amp;".RawData'!$I$6:$I$125"),0),MATCH('CMA Summary'!Y$8,INDIRECT("'"&amp;$D$5&amp;".RawData'!$J$5:$CZ$5"),0))),"")</f>
        <v>0.6</v>
      </c>
      <c r="Z17" s="376">
        <f ca="1">IFERROR((INDEX(INDIRECT("'"&amp;$D$5&amp;".RawData'!$J$6:$CZ$125"),MATCH('CMA Summary'!$U17,INDIRECT("'"&amp;$D$5&amp;".RawData'!$I$6:$I$125"),0),MATCH('CMA Summary'!Z$8,INDIRECT("'"&amp;$D$5&amp;".RawData'!$J$5:$CZ$5"),0))),"")</f>
        <v>0.19</v>
      </c>
      <c r="AA17" s="369">
        <f ca="1">IFERROR((INDEX(INDIRECT("'"&amp;$D$5&amp;".RawData'!$J$6:$CZ$125"),MATCH('CMA Summary'!$U17,INDIRECT("'"&amp;$D$5&amp;".RawData'!$I$6:$I$125"),0),MATCH('CMA Summary'!AA$8,INDIRECT("'"&amp;$D$5&amp;".RawData'!$J$5:$CZ$5"),0))),"")</f>
        <v>1</v>
      </c>
      <c r="AB17" s="575"/>
      <c r="AC17" s="575"/>
      <c r="AD17" s="575"/>
      <c r="AE17" s="575"/>
      <c r="AF17" s="575"/>
      <c r="AG17" s="576"/>
      <c r="AH17" s="370">
        <f ca="1"/>
        <v>0.11</v>
      </c>
      <c r="AI17" s="370">
        <f t="shared" ca="1" si="6"/>
        <v>3.1754264805429422E-2</v>
      </c>
      <c r="AJ17" s="371">
        <f t="shared" ca="1" si="4"/>
        <v>1.2100000000000005E-2</v>
      </c>
      <c r="AK17" s="371">
        <f t="shared" ca="1" si="5"/>
        <v>1.0083333333333337E-3</v>
      </c>
      <c r="AM17" s="349" t="str">
        <v>U.S. High Yield</v>
      </c>
      <c r="AN17" s="61">
        <f t="shared" ca="1" si="7"/>
        <v>1.2155000000000003E-2</v>
      </c>
      <c r="AO17" s="61">
        <f t="shared" ca="1" si="8"/>
        <v>1.188E-2</v>
      </c>
      <c r="AP17" s="61">
        <f t="shared" ref="AP17:AP23" ca="1" si="9">IFERROR((Y17*$AI17*$AI$15*12),"")</f>
        <v>1.3200000000000002E-3</v>
      </c>
      <c r="AQ17" s="61">
        <f ca="1">IFERROR((Z17*$AI17*$AI$16*12),"")</f>
        <v>8.3600000000000026E-4</v>
      </c>
      <c r="AR17" s="75">
        <f ca="1">IFERROR($AJ$17,"-")</f>
        <v>1.2100000000000005E-2</v>
      </c>
      <c r="AS17" s="62">
        <f ca="1">AR18</f>
        <v>5.3900000000000016E-3</v>
      </c>
      <c r="AT17" s="62">
        <f ca="1">AR19</f>
        <v>1.4300000000000002E-2</v>
      </c>
      <c r="AU17" s="62">
        <f ca="1">AR20</f>
        <v>3.5200000000000006E-3</v>
      </c>
      <c r="AV17" s="62">
        <f ca="1">AR21</f>
        <v>1.0725000000000002E-2</v>
      </c>
      <c r="AW17" s="62">
        <f ca="1">AR22</f>
        <v>7.9200000000000017E-3</v>
      </c>
      <c r="AX17" s="63">
        <f ca="1">AR23</f>
        <v>3.3880000000000013E-3</v>
      </c>
      <c r="BB17">
        <f ca="1"/>
        <v>1.2155000000000003E-2</v>
      </c>
      <c r="BC17">
        <f ca="1"/>
        <v>1.188E-2</v>
      </c>
      <c r="BD17">
        <f ca="1"/>
        <v>1.3200000000000002E-3</v>
      </c>
      <c r="BE17">
        <f ca="1"/>
        <v>8.3600000000000026E-4</v>
      </c>
      <c r="BF17">
        <f ca="1"/>
        <v>1.2100000000000005E-2</v>
      </c>
      <c r="BG17">
        <f ca="1"/>
        <v>5.3900000000000016E-3</v>
      </c>
      <c r="BH17">
        <f ca="1"/>
        <v>1.4300000000000002E-2</v>
      </c>
      <c r="BI17">
        <f ca="1"/>
        <v>3.5200000000000006E-3</v>
      </c>
      <c r="BJ17">
        <f ca="1"/>
        <v>1.0725000000000002E-2</v>
      </c>
      <c r="BK17">
        <f ca="1"/>
        <v>7.9200000000000017E-3</v>
      </c>
      <c r="BL17">
        <f ca="1"/>
        <v>3.3880000000000013E-3</v>
      </c>
    </row>
    <row r="18" spans="2:64" ht="17.75" customHeight="1" outlineLevel="1">
      <c r="B18" s="357" t="s">
        <v>20</v>
      </c>
      <c r="C18" s="357"/>
      <c r="D18" s="571" t="str">
        <f>INDEX(SelectedAssetClass.Data!$D$7:$I$50,MATCH('CMA Summary'!$B18,SelectedAssetClass.Data!$B$7:$B$50,0),MATCH('CMA Summary'!$D$5,SelectedAssetClass.Data!$D$6:$I$6,0))</f>
        <v>Emerging Market Debt</v>
      </c>
      <c r="E18" s="572"/>
      <c r="F18" s="572"/>
      <c r="G18" s="572"/>
      <c r="H18" s="572"/>
      <c r="I18" s="573"/>
      <c r="J18" s="358"/>
      <c r="K18" s="358"/>
      <c r="L18" s="358"/>
      <c r="M18" s="359">
        <f ca="1">IF(R18="",IFERROR((INDEX(INDIRECT("'"&amp;$D$5&amp;".RawData'!$D$6:$G$125"),MATCH('CMA Summary'!$D18,INDIRECT("'"&amp;$D$5&amp;".RawData'!$C$6:$C$125"),0),MATCH('CMA Summary'!$M$10,INDIRECT("'"&amp;$D$5&amp;".RawData'!$D$5:$H$5"),0))),"-"),R18)</f>
        <v>4.8000000000000001E-2</v>
      </c>
      <c r="N18" s="360"/>
      <c r="O18" s="360"/>
      <c r="P18" s="360"/>
      <c r="Q18" s="361">
        <f ca="1">IF(S18="",IFERROR((INDEX(INDIRECT("'"&amp;$D$5&amp;".RawData'!$D$6:$G$125"),MATCH('CMA Summary'!$D18,INDIRECT("'"&amp;$D$5&amp;".RawData'!$C$6:$C$125"),0),MATCH('CMA Summary'!$Q$10,INDIRECT("'"&amp;$D$5&amp;".RawData'!$D$5:$H$5"),0))),"-"),S18)</f>
        <v>7.0000000000000007E-2</v>
      </c>
      <c r="R18" s="362"/>
      <c r="S18" s="363"/>
      <c r="T18" s="14"/>
      <c r="U18" s="14" t="str">
        <f t="shared" si="3"/>
        <v>Emerging Market Debt</v>
      </c>
      <c r="V18" s="349" t="str">
        <v>Emerging Mkt Bonds</v>
      </c>
      <c r="W18" s="372">
        <f ca="1">IFERROR((INDEX(INDIRECT("'"&amp;$D$5&amp;".RawData'!$J$6:$CZ$125"),MATCH('CMA Summary'!$U18,INDIRECT("'"&amp;$D$5&amp;".RawData'!$I$6:$I$125"),0),MATCH('CMA Summary'!W$8,INDIRECT("'"&amp;$D$5&amp;".RawData'!$J$5:$CZ$5"),0))),"")</f>
        <v>0.55000000000000004</v>
      </c>
      <c r="X18" s="372">
        <f ca="1">IFERROR((INDEX(INDIRECT("'"&amp;$D$5&amp;".RawData'!$J$6:$CZ$125"),MATCH('CMA Summary'!$U18,INDIRECT("'"&amp;$D$5&amp;".RawData'!$I$6:$I$125"),0),MATCH('CMA Summary'!X$8,INDIRECT("'"&amp;$D$5&amp;".RawData'!$J$5:$CZ$5"),0))),"")</f>
        <v>0.6</v>
      </c>
      <c r="Y18" s="372">
        <f ca="1">IFERROR((INDEX(INDIRECT("'"&amp;$D$5&amp;".RawData'!$J$6:$CZ$125"),MATCH('CMA Summary'!$U18,INDIRECT("'"&amp;$D$5&amp;".RawData'!$I$6:$I$125"),0),MATCH('CMA Summary'!Y$8,INDIRECT("'"&amp;$D$5&amp;".RawData'!$J$5:$CZ$5"),0))),"")</f>
        <v>0.6</v>
      </c>
      <c r="Z18" s="372">
        <f ca="1">IFERROR((INDEX(INDIRECT("'"&amp;$D$5&amp;".RawData'!$J$6:$CZ$125"),MATCH('CMA Summary'!$U18,INDIRECT("'"&amp;$D$5&amp;".RawData'!$I$6:$I$125"),0),MATCH('CMA Summary'!Z$8,INDIRECT("'"&amp;$D$5&amp;".RawData'!$J$5:$CZ$5"),0))),"")</f>
        <v>0.55000000000000004</v>
      </c>
      <c r="AA18" s="372">
        <f ca="1">IFERROR((INDEX(INDIRECT("'"&amp;$D$5&amp;".RawData'!$J$6:$CZ$125"),MATCH('CMA Summary'!$U18,INDIRECT("'"&amp;$D$5&amp;".RawData'!$I$6:$I$125"),0),MATCH('CMA Summary'!AA$8,INDIRECT("'"&amp;$D$5&amp;".RawData'!$J$5:$CZ$5"),0))),"")</f>
        <v>0.7</v>
      </c>
      <c r="AB18" s="373">
        <f ca="1">IFERROR((INDEX(INDIRECT("'"&amp;$D$5&amp;".RawData'!$J$6:$CZ$125"),MATCH('CMA Summary'!$U18,INDIRECT("'"&amp;$D$5&amp;".RawData'!$I$6:$I$125"),0),MATCH('CMA Summary'!AB$8,INDIRECT("'"&amp;$D$5&amp;".RawData'!$J$5:$CZ$5"),0))),"")</f>
        <v>1</v>
      </c>
      <c r="AC18" s="579"/>
      <c r="AD18" s="579"/>
      <c r="AE18" s="579"/>
      <c r="AF18" s="579"/>
      <c r="AG18" s="580"/>
      <c r="AH18" s="374">
        <f ca="1"/>
        <v>7.0000000000000007E-2</v>
      </c>
      <c r="AI18" s="374">
        <f t="shared" ca="1" si="6"/>
        <v>2.0207259421636904E-2</v>
      </c>
      <c r="AJ18" s="375">
        <f t="shared" ca="1" si="4"/>
        <v>4.9000000000000007E-3</v>
      </c>
      <c r="AK18" s="375">
        <f t="shared" ca="1" si="5"/>
        <v>4.0833333333333341E-4</v>
      </c>
      <c r="AM18" s="349" t="str">
        <v>Emerging Mkt Bonds</v>
      </c>
      <c r="AN18" s="64">
        <f t="shared" ca="1" si="7"/>
        <v>6.5450000000000022E-3</v>
      </c>
      <c r="AO18" s="64">
        <f t="shared" ca="1" si="8"/>
        <v>7.5600000000000007E-3</v>
      </c>
      <c r="AP18" s="64">
        <f t="shared" ca="1" si="9"/>
        <v>8.4000000000000003E-4</v>
      </c>
      <c r="AQ18" s="64">
        <f t="shared" ref="AQ18:AQ23" ca="1" si="10">IFERROR((Z18*$AI18*$AI$16*12),"")</f>
        <v>1.5400000000000001E-3</v>
      </c>
      <c r="AR18" s="64">
        <f ca="1">IFERROR((AA18*$AI18*$AI$17*12),"")</f>
        <v>5.3900000000000016E-3</v>
      </c>
      <c r="AS18" s="76">
        <f ca="1">IFERROR($AJ$18,"-")</f>
        <v>4.9000000000000007E-3</v>
      </c>
      <c r="AT18" s="65">
        <f ca="1">AS19</f>
        <v>3.5000000000000009E-3</v>
      </c>
      <c r="AU18" s="65">
        <f ca="1">AS20</f>
        <v>1.9599999999999999E-3</v>
      </c>
      <c r="AV18" s="65">
        <f ca="1">AS21</f>
        <v>2.6250000000000006E-3</v>
      </c>
      <c r="AW18" s="65">
        <f ca="1">AS22</f>
        <v>2.1000000000000003E-3</v>
      </c>
      <c r="AX18" s="66">
        <f ca="1">AS23</f>
        <v>1.6940000000000006E-3</v>
      </c>
      <c r="BB18">
        <f ca="1"/>
        <v>6.5450000000000022E-3</v>
      </c>
      <c r="BC18">
        <f ca="1"/>
        <v>7.5600000000000007E-3</v>
      </c>
      <c r="BD18">
        <f ca="1"/>
        <v>8.4000000000000003E-4</v>
      </c>
      <c r="BE18">
        <f ca="1"/>
        <v>1.5400000000000001E-3</v>
      </c>
      <c r="BF18">
        <f ca="1"/>
        <v>5.3900000000000016E-3</v>
      </c>
      <c r="BG18">
        <f ca="1"/>
        <v>4.9000000000000007E-3</v>
      </c>
      <c r="BH18">
        <f ca="1"/>
        <v>3.5000000000000009E-3</v>
      </c>
      <c r="BI18">
        <f ca="1"/>
        <v>1.9599999999999999E-3</v>
      </c>
      <c r="BJ18">
        <f ca="1"/>
        <v>2.6250000000000006E-3</v>
      </c>
      <c r="BK18">
        <f ca="1"/>
        <v>2.1000000000000003E-3</v>
      </c>
      <c r="BL18">
        <f ca="1"/>
        <v>1.6940000000000006E-3</v>
      </c>
    </row>
    <row r="19" spans="2:64" ht="17.75" customHeight="1" outlineLevel="1">
      <c r="B19" s="354" t="s">
        <v>21</v>
      </c>
      <c r="C19" s="354"/>
      <c r="D19" s="354"/>
      <c r="E19" s="354"/>
      <c r="F19" s="354"/>
      <c r="G19" s="354"/>
      <c r="H19" s="354"/>
      <c r="I19" s="354"/>
      <c r="J19" s="58"/>
      <c r="K19" s="58"/>
      <c r="L19" s="58"/>
      <c r="M19" s="354"/>
      <c r="N19" s="58"/>
      <c r="O19" s="58"/>
      <c r="P19" s="58"/>
      <c r="Q19" s="354"/>
      <c r="R19" s="355"/>
      <c r="S19" s="356"/>
      <c r="T19" s="14"/>
      <c r="U19" s="14" t="str">
        <f t="shared" si="3"/>
        <v>Diversified Private Equity</v>
      </c>
      <c r="V19" s="349" t="str">
        <v>Private Equity</v>
      </c>
      <c r="W19" s="376">
        <f ca="1">IFERROR((INDEX(INDIRECT("'"&amp;$D$5&amp;".RawData'!$J$6:$CZ$125"),MATCH('CMA Summary'!$U19,INDIRECT("'"&amp;$D$5&amp;".RawData'!$I$6:$I$125"),0),MATCH('CMA Summary'!W$8,INDIRECT("'"&amp;$D$5&amp;".RawData'!$J$5:$CZ$5"),0))),"")</f>
        <v>0.8</v>
      </c>
      <c r="X19" s="376">
        <f ca="1">IFERROR((INDEX(INDIRECT("'"&amp;$D$5&amp;".RawData'!$J$6:$CZ$125"),MATCH('CMA Summary'!$U19,INDIRECT("'"&amp;$D$5&amp;".RawData'!$I$6:$I$125"),0),MATCH('CMA Summary'!X$8,INDIRECT("'"&amp;$D$5&amp;".RawData'!$J$5:$CZ$5"),0))),"")</f>
        <v>0.7</v>
      </c>
      <c r="Y19" s="376">
        <f ca="1">IFERROR((INDEX(INDIRECT("'"&amp;$D$5&amp;".RawData'!$J$6:$CZ$125"),MATCH('CMA Summary'!$U19,INDIRECT("'"&amp;$D$5&amp;".RawData'!$I$6:$I$125"),0),MATCH('CMA Summary'!Y$8,INDIRECT("'"&amp;$D$5&amp;".RawData'!$J$5:$CZ$5"),0))),"")</f>
        <v>0.6</v>
      </c>
      <c r="Z19" s="376">
        <f ca="1">IFERROR((INDEX(INDIRECT("'"&amp;$D$5&amp;".RawData'!$J$6:$CZ$125"),MATCH('CMA Summary'!$U19,INDIRECT("'"&amp;$D$5&amp;".RawData'!$I$6:$I$125"),0),MATCH('CMA Summary'!Z$8,INDIRECT("'"&amp;$D$5&amp;".RawData'!$J$5:$CZ$5"),0))),"")</f>
        <v>0</v>
      </c>
      <c r="AA19" s="376">
        <f ca="1">IFERROR((INDEX(INDIRECT("'"&amp;$D$5&amp;".RawData'!$J$6:$CZ$125"),MATCH('CMA Summary'!$U19,INDIRECT("'"&amp;$D$5&amp;".RawData'!$I$6:$I$125"),0),MATCH('CMA Summary'!AA$8,INDIRECT("'"&amp;$D$5&amp;".RawData'!$J$5:$CZ$5"),0))),"")</f>
        <v>0.65</v>
      </c>
      <c r="AB19" s="376">
        <f ca="1">IFERROR((INDEX(INDIRECT("'"&amp;$D$5&amp;".RawData'!$J$6:$CZ$125"),MATCH('CMA Summary'!$U19,INDIRECT("'"&amp;$D$5&amp;".RawData'!$I$6:$I$125"),0),MATCH('CMA Summary'!AB$8,INDIRECT("'"&amp;$D$5&amp;".RawData'!$J$5:$CZ$5"),0))),"")</f>
        <v>0.25</v>
      </c>
      <c r="AC19" s="369">
        <f ca="1">IFERROR((INDEX(INDIRECT("'"&amp;$D$5&amp;".RawData'!$J$6:$CZ$125"),MATCH('CMA Summary'!$U19,INDIRECT("'"&amp;$D$5&amp;".RawData'!$I$6:$I$125"),0),MATCH('CMA Summary'!AC$8,INDIRECT("'"&amp;$D$5&amp;".RawData'!$J$5:$CZ$5"),0))),"")</f>
        <v>1</v>
      </c>
      <c r="AD19" s="575"/>
      <c r="AE19" s="575"/>
      <c r="AF19" s="575"/>
      <c r="AG19" s="576"/>
      <c r="AH19" s="370">
        <f ca="1"/>
        <v>0.2</v>
      </c>
      <c r="AI19" s="370">
        <f t="shared" ca="1" si="6"/>
        <v>5.7735026918962581E-2</v>
      </c>
      <c r="AJ19" s="371">
        <f t="shared" ca="1" si="4"/>
        <v>4.0000000000000008E-2</v>
      </c>
      <c r="AK19" s="371">
        <f t="shared" ca="1" si="5"/>
        <v>3.333333333333334E-3</v>
      </c>
      <c r="AM19" s="349" t="str">
        <v>Private Equity</v>
      </c>
      <c r="AN19" s="61">
        <f t="shared" ca="1" si="7"/>
        <v>2.7200000000000009E-2</v>
      </c>
      <c r="AO19" s="61">
        <f t="shared" ca="1" si="8"/>
        <v>2.52E-2</v>
      </c>
      <c r="AP19" s="61">
        <f t="shared" ca="1" si="9"/>
        <v>2.4000000000000002E-3</v>
      </c>
      <c r="AQ19" s="61">
        <f t="shared" ca="1" si="10"/>
        <v>0</v>
      </c>
      <c r="AR19" s="61">
        <f t="shared" ref="AR19:AR23" ca="1" si="11">IFERROR((AA19*$AI19*$AI$17*12),"")</f>
        <v>1.4300000000000002E-2</v>
      </c>
      <c r="AS19" s="61">
        <f ca="1">IFERROR((AB19*$AI19*$AI$18*12),"")</f>
        <v>3.5000000000000009E-3</v>
      </c>
      <c r="AT19" s="75">
        <f ca="1">IFERROR($AJ$19,"-")</f>
        <v>4.0000000000000008E-2</v>
      </c>
      <c r="AU19" s="62">
        <f ca="1">AT20</f>
        <v>6.4000000000000003E-3</v>
      </c>
      <c r="AV19" s="62">
        <f ca="1">AT21</f>
        <v>0</v>
      </c>
      <c r="AW19" s="62">
        <f ca="1">AT22</f>
        <v>1.5600000000000003E-2</v>
      </c>
      <c r="AX19" s="63">
        <f ca="1">AT23</f>
        <v>2.6400000000000004E-3</v>
      </c>
      <c r="BB19">
        <f ca="1"/>
        <v>2.7200000000000009E-2</v>
      </c>
      <c r="BC19">
        <f ca="1"/>
        <v>2.52E-2</v>
      </c>
      <c r="BD19">
        <f ca="1"/>
        <v>2.4000000000000002E-3</v>
      </c>
      <c r="BE19">
        <f ca="1"/>
        <v>0</v>
      </c>
      <c r="BF19">
        <f ca="1"/>
        <v>1.4300000000000002E-2</v>
      </c>
      <c r="BG19">
        <f ca="1"/>
        <v>3.5000000000000009E-3</v>
      </c>
      <c r="BH19">
        <f ca="1"/>
        <v>4.0000000000000008E-2</v>
      </c>
      <c r="BI19">
        <f ca="1"/>
        <v>6.4000000000000003E-3</v>
      </c>
      <c r="BJ19">
        <f ca="1"/>
        <v>0</v>
      </c>
      <c r="BK19">
        <f ca="1"/>
        <v>1.5600000000000003E-2</v>
      </c>
      <c r="BL19">
        <f ca="1"/>
        <v>2.6400000000000004E-3</v>
      </c>
    </row>
    <row r="20" spans="2:64" ht="17.75" customHeight="1" outlineLevel="1">
      <c r="B20" s="357" t="s">
        <v>22</v>
      </c>
      <c r="C20" s="357"/>
      <c r="D20" s="571" t="str">
        <f>INDEX(SelectedAssetClass.Data!$D$7:$I$50,MATCH('CMA Summary'!$B20,SelectedAssetClass.Data!$B$7:$B$50,0),MATCH('CMA Summary'!$D$5,SelectedAssetClass.Data!$D$6:$I$6,0))</f>
        <v>Diversified Private Equity</v>
      </c>
      <c r="E20" s="572"/>
      <c r="F20" s="572"/>
      <c r="G20" s="572"/>
      <c r="H20" s="572"/>
      <c r="I20" s="573"/>
      <c r="J20" s="358"/>
      <c r="K20" s="358"/>
      <c r="L20" s="358"/>
      <c r="M20" s="359">
        <f ca="1">IF(R20="",IFERROR((INDEX(INDIRECT("'"&amp;$D$5&amp;".RawData'!$D$6:$G$125"),MATCH('CMA Summary'!$D20,INDIRECT("'"&amp;$D$5&amp;".RawData'!$C$6:$C$125"),0),MATCH('CMA Summary'!$M$10,INDIRECT("'"&amp;$D$5&amp;".RawData'!$D$5:$H$5"),0))),"-"),R20)</f>
        <v>0.114</v>
      </c>
      <c r="N20" s="360"/>
      <c r="O20" s="360"/>
      <c r="P20" s="360"/>
      <c r="Q20" s="361">
        <f ca="1">IF(S20="",IFERROR((INDEX(INDIRECT("'"&amp;$D$5&amp;".RawData'!$D$6:$G$125"),MATCH('CMA Summary'!$D20,INDIRECT("'"&amp;$D$5&amp;".RawData'!$C$6:$C$125"),0),MATCH('CMA Summary'!$Q$10,INDIRECT("'"&amp;$D$5&amp;".RawData'!$D$5:$H$5"),0))),"-"),S20)</f>
        <v>0.2</v>
      </c>
      <c r="R20" s="362"/>
      <c r="S20" s="363"/>
      <c r="T20" s="14"/>
      <c r="U20" s="14" t="str">
        <f t="shared" si="3"/>
        <v>Private Debt (UL)</v>
      </c>
      <c r="V20" s="349" t="str">
        <v>Private Credit</v>
      </c>
      <c r="W20" s="372">
        <f ca="1">IFERROR((INDEX(INDIRECT("'"&amp;$D$5&amp;".RawData'!$J$6:$CZ$125"),MATCH('CMA Summary'!$U20,INDIRECT("'"&amp;$D$5&amp;".RawData'!$I$6:$I$125"),0),MATCH('CMA Summary'!W$8,INDIRECT("'"&amp;$D$5&amp;".RawData'!$J$5:$CZ$5"),0))),"")</f>
        <v>0.65</v>
      </c>
      <c r="X20" s="372">
        <f ca="1">IFERROR((INDEX(INDIRECT("'"&amp;$D$5&amp;".RawData'!$J$6:$CZ$125"),MATCH('CMA Summary'!$U20,INDIRECT("'"&amp;$D$5&amp;".RawData'!$I$6:$I$125"),0),MATCH('CMA Summary'!X$8,INDIRECT("'"&amp;$D$5&amp;".RawData'!$J$5:$CZ$5"),0))),"")</f>
        <v>0.6</v>
      </c>
      <c r="Y20" s="372">
        <f ca="1">IFERROR((INDEX(INDIRECT("'"&amp;$D$5&amp;".RawData'!$J$6:$CZ$125"),MATCH('CMA Summary'!$U20,INDIRECT("'"&amp;$D$5&amp;".RawData'!$I$6:$I$125"),0),MATCH('CMA Summary'!Y$8,INDIRECT("'"&amp;$D$5&amp;".RawData'!$J$5:$CZ$5"),0))),"")</f>
        <v>0.6</v>
      </c>
      <c r="Z20" s="372">
        <f ca="1">IFERROR((INDEX(INDIRECT("'"&amp;$D$5&amp;".RawData'!$J$6:$CZ$125"),MATCH('CMA Summary'!$U20,INDIRECT("'"&amp;$D$5&amp;".RawData'!$I$6:$I$125"),0),MATCH('CMA Summary'!Z$8,INDIRECT("'"&amp;$D$5&amp;".RawData'!$J$5:$CZ$5"),0))),"")</f>
        <v>0.19</v>
      </c>
      <c r="AA20" s="372">
        <f ca="1">IFERROR((INDEX(INDIRECT("'"&amp;$D$5&amp;".RawData'!$J$6:$CZ$125"),MATCH('CMA Summary'!$U20,INDIRECT("'"&amp;$D$5&amp;".RawData'!$I$6:$I$125"),0),MATCH('CMA Summary'!AA$8,INDIRECT("'"&amp;$D$5&amp;".RawData'!$J$5:$CZ$5"),0))),"")</f>
        <v>0.8</v>
      </c>
      <c r="AB20" s="372">
        <f ca="1">IFERROR((INDEX(INDIRECT("'"&amp;$D$5&amp;".RawData'!$J$6:$CZ$125"),MATCH('CMA Summary'!$U20,INDIRECT("'"&amp;$D$5&amp;".RawData'!$I$6:$I$125"),0),MATCH('CMA Summary'!AB$8,INDIRECT("'"&amp;$D$5&amp;".RawData'!$J$5:$CZ$5"),0))),"")</f>
        <v>0.7</v>
      </c>
      <c r="AC20" s="372">
        <f ca="1">IFERROR((INDEX(INDIRECT("'"&amp;$D$5&amp;".RawData'!$J$6:$CZ$125"),MATCH('CMA Summary'!$U20,INDIRECT("'"&amp;$D$5&amp;".RawData'!$I$6:$I$125"),0),MATCH('CMA Summary'!AC$8,INDIRECT("'"&amp;$D$5&amp;".RawData'!$J$5:$CZ$5"),0))),"")</f>
        <v>0.8</v>
      </c>
      <c r="AD20" s="373">
        <f ca="1">IFERROR((INDEX(INDIRECT("'"&amp;$D$5&amp;".RawData'!$J$6:$CZ$125"),MATCH('CMA Summary'!$U20,INDIRECT("'"&amp;$D$5&amp;".RawData'!$I$6:$I$125"),0),MATCH('CMA Summary'!AD$8,INDIRECT("'"&amp;$D$5&amp;".RawData'!$J$5:$CZ$5"),0))),"")</f>
        <v>1</v>
      </c>
      <c r="AE20" s="579"/>
      <c r="AF20" s="579"/>
      <c r="AG20" s="580"/>
      <c r="AH20" s="374">
        <f ca="1"/>
        <v>0.04</v>
      </c>
      <c r="AI20" s="374">
        <f t="shared" ca="1" si="6"/>
        <v>1.1547005383792516E-2</v>
      </c>
      <c r="AJ20" s="375">
        <f t="shared" ca="1" si="4"/>
        <v>1.6000000000000001E-3</v>
      </c>
      <c r="AK20" s="375">
        <f t="shared" ca="1" si="5"/>
        <v>1.3333333333333334E-4</v>
      </c>
      <c r="AM20" s="349" t="str">
        <v>Private Credit</v>
      </c>
      <c r="AN20" s="64">
        <f t="shared" ca="1" si="7"/>
        <v>4.4200000000000012E-3</v>
      </c>
      <c r="AO20" s="64">
        <f t="shared" ca="1" si="8"/>
        <v>4.3200000000000001E-3</v>
      </c>
      <c r="AP20" s="64">
        <f t="shared" ca="1" si="9"/>
        <v>4.8000000000000007E-4</v>
      </c>
      <c r="AQ20" s="64">
        <f t="shared" ca="1" si="10"/>
        <v>3.0400000000000002E-4</v>
      </c>
      <c r="AR20" s="64">
        <f t="shared" ca="1" si="11"/>
        <v>3.5200000000000006E-3</v>
      </c>
      <c r="AS20" s="64">
        <f t="shared" ref="AS20:AS23" ca="1" si="12">IFERROR((AB20*$AI20*$AI$18*12),"")</f>
        <v>1.9599999999999999E-3</v>
      </c>
      <c r="AT20" s="64">
        <f ca="1">IFERROR((AC20*$AI20*$AI$19*12),"")</f>
        <v>6.4000000000000003E-3</v>
      </c>
      <c r="AU20" s="76">
        <f ca="1">IFERROR($AJ$20,"-")</f>
        <v>1.6000000000000001E-3</v>
      </c>
      <c r="AV20" s="65">
        <f ca="1">AU21</f>
        <v>0</v>
      </c>
      <c r="AW20" s="65">
        <f ca="1">AU22</f>
        <v>0</v>
      </c>
      <c r="AX20" s="66">
        <f ca="1">AU23</f>
        <v>0</v>
      </c>
      <c r="BB20">
        <f ca="1"/>
        <v>4.4200000000000012E-3</v>
      </c>
      <c r="BC20">
        <f ca="1"/>
        <v>4.3200000000000001E-3</v>
      </c>
      <c r="BD20">
        <f ca="1"/>
        <v>4.8000000000000007E-4</v>
      </c>
      <c r="BE20">
        <f ca="1"/>
        <v>3.0400000000000002E-4</v>
      </c>
      <c r="BF20">
        <f ca="1"/>
        <v>3.5200000000000006E-3</v>
      </c>
      <c r="BG20">
        <f ca="1"/>
        <v>1.9599999999999999E-3</v>
      </c>
      <c r="BH20">
        <f ca="1"/>
        <v>6.4000000000000003E-3</v>
      </c>
      <c r="BI20">
        <f ca="1"/>
        <v>1.6000000000000001E-3</v>
      </c>
      <c r="BJ20">
        <f ca="1"/>
        <v>0</v>
      </c>
      <c r="BK20">
        <f ca="1"/>
        <v>0</v>
      </c>
      <c r="BL20">
        <f ca="1"/>
        <v>0</v>
      </c>
    </row>
    <row r="21" spans="2:64" ht="17.75" customHeight="1" outlineLevel="1">
      <c r="B21" s="364" t="s">
        <v>23</v>
      </c>
      <c r="C21" s="364"/>
      <c r="D21" s="568" t="str">
        <f>INDEX(SelectedAssetClass.Data!$D$7:$I$50,MATCH('CMA Summary'!$B21,SelectedAssetClass.Data!$B$7:$B$50,0),MATCH('CMA Summary'!$D$5,SelectedAssetClass.Data!$D$6:$I$6,0))</f>
        <v>Private Debt (UL)</v>
      </c>
      <c r="E21" s="569"/>
      <c r="F21" s="569"/>
      <c r="G21" s="569"/>
      <c r="H21" s="569"/>
      <c r="I21" s="570"/>
      <c r="J21" s="358"/>
      <c r="K21" s="358"/>
      <c r="L21" s="358"/>
      <c r="M21" s="365">
        <f ca="1">IF(R21="",IFERROR((INDEX(INDIRECT("'"&amp;$D$5&amp;".RawData'!$D$6:$G$125"),MATCH('CMA Summary'!$D21,INDIRECT("'"&amp;$D$5&amp;".RawData'!$C$6:$C$125"),0),MATCH('CMA Summary'!$M$10,INDIRECT("'"&amp;$D$5&amp;".RawData'!$D$5:$H$5"),0))),"-"),R21)</f>
        <v>6.5299999999999997E-2</v>
      </c>
      <c r="N21" s="360"/>
      <c r="O21" s="360"/>
      <c r="P21" s="360"/>
      <c r="Q21" s="366">
        <f ca="1">IF(S21="",IFERROR((INDEX(INDIRECT("'"&amp;$D$5&amp;".RawData'!$D$6:$G$125"),MATCH('CMA Summary'!$D21,INDIRECT("'"&amp;$D$5&amp;".RawData'!$C$6:$C$125"),0),MATCH('CMA Summary'!$Q$10,INDIRECT("'"&amp;$D$5&amp;".RawData'!$D$5:$H$5"),0))),"-"),S21)</f>
        <v>0.04</v>
      </c>
      <c r="R21" s="367"/>
      <c r="S21" s="368"/>
      <c r="T21" s="20"/>
      <c r="U21" s="14" t="str">
        <f t="shared" si="3"/>
        <v>Private Real Estate (UL)</v>
      </c>
      <c r="V21" s="349" t="str">
        <v>Private Real Estate</v>
      </c>
      <c r="W21" s="376">
        <f ca="1">IFERROR((INDEX(INDIRECT("'"&amp;$D$5&amp;".RawData'!$J$6:$CZ$125"),MATCH('CMA Summary'!$U21,INDIRECT("'"&amp;$D$5&amp;".RawData'!$I$6:$I$125"),0),MATCH('CMA Summary'!W$8,INDIRECT("'"&amp;$D$5&amp;".RawData'!$J$5:$CZ$5"),0))),"")</f>
        <v>0.5</v>
      </c>
      <c r="X21" s="376">
        <f ca="1">IFERROR((INDEX(INDIRECT("'"&amp;$D$5&amp;".RawData'!$J$6:$CZ$125"),MATCH('CMA Summary'!$U21,INDIRECT("'"&amp;$D$5&amp;".RawData'!$I$6:$I$125"),0),MATCH('CMA Summary'!X$8,INDIRECT("'"&amp;$D$5&amp;".RawData'!$J$5:$CZ$5"),0))),"")</f>
        <v>0.45</v>
      </c>
      <c r="Y21" s="376">
        <f ca="1">IFERROR((INDEX(INDIRECT("'"&amp;$D$5&amp;".RawData'!$J$6:$CZ$125"),MATCH('CMA Summary'!$U21,INDIRECT("'"&amp;$D$5&amp;".RawData'!$I$6:$I$125"),0),MATCH('CMA Summary'!Y$8,INDIRECT("'"&amp;$D$5&amp;".RawData'!$J$5:$CZ$5"),0))),"")</f>
        <v>0.4</v>
      </c>
      <c r="Z21" s="376">
        <f ca="1">IFERROR((INDEX(INDIRECT("'"&amp;$D$5&amp;".RawData'!$J$6:$CZ$125"),MATCH('CMA Summary'!$U21,INDIRECT("'"&amp;$D$5&amp;".RawData'!$I$6:$I$125"),0),MATCH('CMA Summary'!Z$8,INDIRECT("'"&amp;$D$5&amp;".RawData'!$J$5:$CZ$5"),0))),"")</f>
        <v>0</v>
      </c>
      <c r="AA21" s="376">
        <f ca="1">IFERROR((INDEX(INDIRECT("'"&amp;$D$5&amp;".RawData'!$J$6:$CZ$125"),MATCH('CMA Summary'!$U21,INDIRECT("'"&amp;$D$5&amp;".RawData'!$I$6:$I$125"),0),MATCH('CMA Summary'!AA$8,INDIRECT("'"&amp;$D$5&amp;".RawData'!$J$5:$CZ$5"),0))),"")</f>
        <v>0.65</v>
      </c>
      <c r="AB21" s="376">
        <f ca="1">IFERROR((INDEX(INDIRECT("'"&amp;$D$5&amp;".RawData'!$J$6:$CZ$125"),MATCH('CMA Summary'!$U21,INDIRECT("'"&amp;$D$5&amp;".RawData'!$I$6:$I$125"),0),MATCH('CMA Summary'!AB$8,INDIRECT("'"&amp;$D$5&amp;".RawData'!$J$5:$CZ$5"),0))),"")</f>
        <v>0.25</v>
      </c>
      <c r="AC21" s="376">
        <f ca="1">IFERROR((INDEX(INDIRECT("'"&amp;$D$5&amp;".RawData'!$J$6:$CZ$125"),MATCH('CMA Summary'!$U21,INDIRECT("'"&amp;$D$5&amp;".RawData'!$I$6:$I$125"),0),MATCH('CMA Summary'!AC$8,INDIRECT("'"&amp;$D$5&amp;".RawData'!$J$5:$CZ$5"),0))),"")</f>
        <v>0</v>
      </c>
      <c r="AD21" s="376">
        <f ca="1">IFERROR((INDEX(INDIRECT("'"&amp;$D$5&amp;".RawData'!$J$6:$CZ$125"),MATCH('CMA Summary'!$U21,INDIRECT("'"&amp;$D$5&amp;".RawData'!$I$6:$I$125"),0),MATCH('CMA Summary'!AD$8,INDIRECT("'"&amp;$D$5&amp;".RawData'!$J$5:$CZ$5"),0))),"")</f>
        <v>0</v>
      </c>
      <c r="AE21" s="369">
        <f ca="1">IFERROR((INDEX(INDIRECT("'"&amp;$D$5&amp;".RawData'!$J$6:$CZ$125"),MATCH('CMA Summary'!$U21,INDIRECT("'"&amp;$D$5&amp;".RawData'!$I$6:$I$125"),0),MATCH('CMA Summary'!AE$8,INDIRECT("'"&amp;$D$5&amp;".RawData'!$J$5:$CZ$5"),0))),"")</f>
        <v>1</v>
      </c>
      <c r="AF21" s="575"/>
      <c r="AG21" s="576"/>
      <c r="AH21" s="370">
        <f ca="1"/>
        <v>0.15</v>
      </c>
      <c r="AI21" s="370">
        <f t="shared" ca="1" si="6"/>
        <v>4.3301270189221933E-2</v>
      </c>
      <c r="AJ21" s="371">
        <f t="shared" ca="1" si="4"/>
        <v>2.2499999999999999E-2</v>
      </c>
      <c r="AK21" s="371">
        <f t="shared" ca="1" si="5"/>
        <v>1.8749999999999999E-3</v>
      </c>
      <c r="AM21" s="349" t="str">
        <v>Private Real Estate</v>
      </c>
      <c r="AN21" s="61">
        <f t="shared" ca="1" si="7"/>
        <v>1.2750000000000001E-2</v>
      </c>
      <c r="AO21" s="61">
        <f t="shared" ca="1" si="8"/>
        <v>1.2149999999999999E-2</v>
      </c>
      <c r="AP21" s="61">
        <f t="shared" ca="1" si="9"/>
        <v>1.2000000000000001E-3</v>
      </c>
      <c r="AQ21" s="61">
        <f t="shared" ca="1" si="10"/>
        <v>0</v>
      </c>
      <c r="AR21" s="61">
        <f t="shared" ca="1" si="11"/>
        <v>1.0725000000000002E-2</v>
      </c>
      <c r="AS21" s="61">
        <f t="shared" ca="1" si="12"/>
        <v>2.6250000000000006E-3</v>
      </c>
      <c r="AT21" s="61">
        <f t="shared" ref="AT21:AT23" ca="1" si="13">IFERROR((AC21*$AI21*$AI$19*12),"")</f>
        <v>0</v>
      </c>
      <c r="AU21" s="61">
        <f ca="1">IFERROR((AD21*$AI21*$AI$20*12),"")</f>
        <v>0</v>
      </c>
      <c r="AV21" s="75">
        <f ca="1">IFERROR($AJ$21,"-")</f>
        <v>2.2499999999999999E-2</v>
      </c>
      <c r="AW21" s="62">
        <f ca="1">AV22</f>
        <v>1.26E-2</v>
      </c>
      <c r="AX21" s="63">
        <f ca="1">AV23</f>
        <v>1.3200000000000002E-3</v>
      </c>
      <c r="BB21">
        <f ca="1"/>
        <v>1.2750000000000001E-2</v>
      </c>
      <c r="BC21">
        <f ca="1"/>
        <v>1.2149999999999999E-2</v>
      </c>
      <c r="BD21">
        <f ca="1"/>
        <v>1.2000000000000001E-3</v>
      </c>
      <c r="BE21">
        <f ca="1"/>
        <v>0</v>
      </c>
      <c r="BF21">
        <f ca="1"/>
        <v>1.0725000000000002E-2</v>
      </c>
      <c r="BG21">
        <f ca="1"/>
        <v>2.6250000000000006E-3</v>
      </c>
      <c r="BH21">
        <f ca="1"/>
        <v>0</v>
      </c>
      <c r="BI21">
        <f ca="1"/>
        <v>0</v>
      </c>
      <c r="BJ21">
        <f ca="1"/>
        <v>2.2499999999999999E-2</v>
      </c>
      <c r="BK21">
        <f ca="1"/>
        <v>1.26E-2</v>
      </c>
      <c r="BL21">
        <f ca="1"/>
        <v>1.3200000000000002E-3</v>
      </c>
    </row>
    <row r="22" spans="2:64" ht="17.75" customHeight="1" outlineLevel="1">
      <c r="B22" s="357" t="s">
        <v>24</v>
      </c>
      <c r="C22" s="357"/>
      <c r="D22" s="571" t="str">
        <f>INDEX(SelectedAssetClass.Data!$D$7:$I$50,MATCH('CMA Summary'!$B22,SelectedAssetClass.Data!$B$7:$B$50,0),MATCH('CMA Summary'!$D$5,SelectedAssetClass.Data!$D$6:$I$6,0))</f>
        <v>Private Real Estate (UL)</v>
      </c>
      <c r="E22" s="572"/>
      <c r="F22" s="572"/>
      <c r="G22" s="572"/>
      <c r="H22" s="572"/>
      <c r="I22" s="573"/>
      <c r="J22" s="358"/>
      <c r="K22" s="358"/>
      <c r="L22" s="358"/>
      <c r="M22" s="359">
        <f ca="1">IF(R22="",IFERROR((INDEX(INDIRECT("'"&amp;$D$5&amp;".RawData'!$D$6:$G$125"),MATCH('CMA Summary'!$D22,INDIRECT("'"&amp;$D$5&amp;".RawData'!$C$6:$C$125"),0),MATCH('CMA Summary'!$M$10,INDIRECT("'"&amp;$D$5&amp;".RawData'!$D$5:$H$5"),0))),"-"),R22)</f>
        <v>7.8299999999999995E-2</v>
      </c>
      <c r="N22" s="360"/>
      <c r="O22" s="360"/>
      <c r="P22" s="360"/>
      <c r="Q22" s="361">
        <f ca="1">IF(S22="",IFERROR((INDEX(INDIRECT("'"&amp;$D$5&amp;".RawData'!$D$6:$G$125"),MATCH('CMA Summary'!$D22,INDIRECT("'"&amp;$D$5&amp;".RawData'!$C$6:$C$125"),0),MATCH('CMA Summary'!$Q$10,INDIRECT("'"&amp;$D$5&amp;".RawData'!$D$5:$H$5"),0))),"-"),S22)</f>
        <v>0.15</v>
      </c>
      <c r="R22" s="362"/>
      <c r="S22" s="363"/>
      <c r="T22" s="14"/>
      <c r="U22" s="14" t="str">
        <f t="shared" si="3"/>
        <v>Infrastructure</v>
      </c>
      <c r="V22" s="349" t="str">
        <v>Infrastructure</v>
      </c>
      <c r="W22" s="372">
        <f ca="1">IFERROR((INDEX(INDIRECT("'"&amp;$D$5&amp;".RawData'!$J$6:$CZ$125"),MATCH('CMA Summary'!$U22,INDIRECT("'"&amp;$D$5&amp;".RawData'!$I$6:$I$125"),0),MATCH('CMA Summary'!W$8,INDIRECT("'"&amp;$D$5&amp;".RawData'!$J$5:$CZ$5"),0))),"")</f>
        <v>0.7</v>
      </c>
      <c r="X22" s="372">
        <f ca="1">IFERROR((INDEX(INDIRECT("'"&amp;$D$5&amp;".RawData'!$J$6:$CZ$125"),MATCH('CMA Summary'!$U22,INDIRECT("'"&amp;$D$5&amp;".RawData'!$I$6:$I$125"),0),MATCH('CMA Summary'!X$8,INDIRECT("'"&amp;$D$5&amp;".RawData'!$J$5:$CZ$5"),0))),"")</f>
        <v>0.65</v>
      </c>
      <c r="Y22" s="372">
        <f ca="1">IFERROR((INDEX(INDIRECT("'"&amp;$D$5&amp;".RawData'!$J$6:$CZ$125"),MATCH('CMA Summary'!$U22,INDIRECT("'"&amp;$D$5&amp;".RawData'!$I$6:$I$125"),0),MATCH('CMA Summary'!Y$8,INDIRECT("'"&amp;$D$5&amp;".RawData'!$J$5:$CZ$5"),0))),"")</f>
        <v>0.55000000000000004</v>
      </c>
      <c r="Z22" s="372">
        <f ca="1">IFERROR((INDEX(INDIRECT("'"&amp;$D$5&amp;".RawData'!$J$6:$CZ$125"),MATCH('CMA Summary'!$U22,INDIRECT("'"&amp;$D$5&amp;".RawData'!$I$6:$I$125"),0),MATCH('CMA Summary'!Z$8,INDIRECT("'"&amp;$D$5&amp;".RawData'!$J$5:$CZ$5"),0))),"")</f>
        <v>0</v>
      </c>
      <c r="AA22" s="372">
        <f ca="1">IFERROR((INDEX(INDIRECT("'"&amp;$D$5&amp;".RawData'!$J$6:$CZ$125"),MATCH('CMA Summary'!$U22,INDIRECT("'"&amp;$D$5&amp;".RawData'!$I$6:$I$125"),0),MATCH('CMA Summary'!AA$8,INDIRECT("'"&amp;$D$5&amp;".RawData'!$J$5:$CZ$5"),0))),"")</f>
        <v>0.6</v>
      </c>
      <c r="AB22" s="372">
        <f ca="1">IFERROR((INDEX(INDIRECT("'"&amp;$D$5&amp;".RawData'!$J$6:$CZ$125"),MATCH('CMA Summary'!$U22,INDIRECT("'"&amp;$D$5&amp;".RawData'!$I$6:$I$125"),0),MATCH('CMA Summary'!AB$8,INDIRECT("'"&amp;$D$5&amp;".RawData'!$J$5:$CZ$5"),0))),"")</f>
        <v>0.25</v>
      </c>
      <c r="AC22" s="372">
        <f ca="1">IFERROR((INDEX(INDIRECT("'"&amp;$D$5&amp;".RawData'!$J$6:$CZ$125"),MATCH('CMA Summary'!$U22,INDIRECT("'"&amp;$D$5&amp;".RawData'!$I$6:$I$125"),0),MATCH('CMA Summary'!AC$8,INDIRECT("'"&amp;$D$5&amp;".RawData'!$J$5:$CZ$5"),0))),"")</f>
        <v>0.65</v>
      </c>
      <c r="AD22" s="372">
        <f ca="1">IFERROR((INDEX(INDIRECT("'"&amp;$D$5&amp;".RawData'!$J$6:$CZ$125"),MATCH('CMA Summary'!$U22,INDIRECT("'"&amp;$D$5&amp;".RawData'!$I$6:$I$125"),0),MATCH('CMA Summary'!AD$8,INDIRECT("'"&amp;$D$5&amp;".RawData'!$J$5:$CZ$5"),0))),"")</f>
        <v>0</v>
      </c>
      <c r="AE22" s="372">
        <f ca="1">IFERROR((INDEX(INDIRECT("'"&amp;$D$5&amp;".RawData'!$J$6:$CZ$125"),MATCH('CMA Summary'!$U22,INDIRECT("'"&amp;$D$5&amp;".RawData'!$I$6:$I$125"),0),MATCH('CMA Summary'!AE$8,INDIRECT("'"&amp;$D$5&amp;".RawData'!$J$5:$CZ$5"),0))),"")</f>
        <v>0.7</v>
      </c>
      <c r="AF22" s="373">
        <f ca="1">IFERROR((INDEX(INDIRECT("'"&amp;$D$5&amp;".RawData'!$J$6:$CZ$125"),MATCH('CMA Summary'!$U22,INDIRECT("'"&amp;$D$5&amp;".RawData'!$I$6:$I$125"),0),MATCH('CMA Summary'!AF$8,INDIRECT("'"&amp;$D$5&amp;".RawData'!$J$5:$CZ$5"),0))),"")</f>
        <v>1</v>
      </c>
      <c r="AG22" s="377"/>
      <c r="AH22" s="374">
        <f ca="1"/>
        <v>0.12</v>
      </c>
      <c r="AI22" s="374">
        <f t="shared" ca="1" si="6"/>
        <v>3.4641016151377546E-2</v>
      </c>
      <c r="AJ22" s="375">
        <f t="shared" ca="1" si="4"/>
        <v>1.4400000000000001E-2</v>
      </c>
      <c r="AK22" s="375">
        <f ca="1">IF(AH22="","",(AH22/SQRT(12))^2)</f>
        <v>1.2000000000000001E-3</v>
      </c>
      <c r="AM22" s="349" t="str">
        <v>Infrastructure</v>
      </c>
      <c r="AN22" s="64">
        <f t="shared" ca="1" si="7"/>
        <v>1.4280000000000001E-2</v>
      </c>
      <c r="AO22" s="64">
        <f t="shared" ca="1" si="8"/>
        <v>1.404E-2</v>
      </c>
      <c r="AP22" s="64">
        <f t="shared" ca="1" si="9"/>
        <v>1.3200000000000002E-3</v>
      </c>
      <c r="AQ22" s="64">
        <f t="shared" ca="1" si="10"/>
        <v>0</v>
      </c>
      <c r="AR22" s="64">
        <f t="shared" ca="1" si="11"/>
        <v>7.9200000000000017E-3</v>
      </c>
      <c r="AS22" s="64">
        <f t="shared" ca="1" si="12"/>
        <v>2.1000000000000003E-3</v>
      </c>
      <c r="AT22" s="64">
        <f t="shared" ca="1" si="13"/>
        <v>1.5600000000000003E-2</v>
      </c>
      <c r="AU22" s="64">
        <f t="shared" ref="AU22:AU23" ca="1" si="14">IFERROR((AD22*$AI22*$AI$20*12),"")</f>
        <v>0</v>
      </c>
      <c r="AV22" s="64">
        <f ca="1">IFERROR((AE22*$AI22*$AI$21*12),"")</f>
        <v>1.26E-2</v>
      </c>
      <c r="AW22" s="76">
        <f ca="1">IFERROR($AJ$22,"")</f>
        <v>1.4400000000000001E-2</v>
      </c>
      <c r="AX22" s="66">
        <f ca="1">AW23</f>
        <v>0</v>
      </c>
      <c r="BB22">
        <f ca="1"/>
        <v>1.4280000000000001E-2</v>
      </c>
      <c r="BC22">
        <f ca="1"/>
        <v>1.404E-2</v>
      </c>
      <c r="BD22">
        <f ca="1"/>
        <v>1.3200000000000002E-3</v>
      </c>
      <c r="BE22">
        <f ca="1"/>
        <v>0</v>
      </c>
      <c r="BF22">
        <f ca="1"/>
        <v>7.9200000000000017E-3</v>
      </c>
      <c r="BG22">
        <f ca="1"/>
        <v>2.1000000000000003E-3</v>
      </c>
      <c r="BH22">
        <f ca="1"/>
        <v>1.5600000000000003E-2</v>
      </c>
      <c r="BI22">
        <f ca="1"/>
        <v>0</v>
      </c>
      <c r="BJ22">
        <f ca="1"/>
        <v>1.26E-2</v>
      </c>
      <c r="BK22">
        <f ca="1"/>
        <v>1.4400000000000001E-2</v>
      </c>
      <c r="BL22">
        <f ca="1"/>
        <v>0</v>
      </c>
    </row>
    <row r="23" spans="2:64" ht="17.75" customHeight="1" outlineLevel="1">
      <c r="B23" s="364" t="s">
        <v>25</v>
      </c>
      <c r="C23" s="364"/>
      <c r="D23" s="568" t="str">
        <f>INDEX(SelectedAssetClass.Data!$D$7:$I$50,MATCH('CMA Summary'!$B23,SelectedAssetClass.Data!$B$7:$B$50,0),MATCH('CMA Summary'!$D$5,SelectedAssetClass.Data!$D$6:$I$6,0))</f>
        <v>Infrastructure</v>
      </c>
      <c r="E23" s="569"/>
      <c r="F23" s="569"/>
      <c r="G23" s="569"/>
      <c r="H23" s="569"/>
      <c r="I23" s="570"/>
      <c r="J23" s="358"/>
      <c r="K23" s="358"/>
      <c r="L23" s="358"/>
      <c r="M23" s="365">
        <f ca="1">IF(R23="",IFERROR((INDEX(INDIRECT("'"&amp;$D$5&amp;".RawData'!$D$6:$G$125"),MATCH('CMA Summary'!$D23,INDIRECT("'"&amp;$D$5&amp;".RawData'!$C$6:$C$125"),0),MATCH('CMA Summary'!$M$10,INDIRECT("'"&amp;$D$5&amp;".RawData'!$D$5:$H$5"),0))),"-"),R23)</f>
        <v>7.9699999999999993E-2</v>
      </c>
      <c r="N23" s="360"/>
      <c r="O23" s="360"/>
      <c r="P23" s="360"/>
      <c r="Q23" s="366">
        <f ca="1">IF(S23="",IFERROR((INDEX(INDIRECT("'"&amp;$D$5&amp;".RawData'!$D$6:$G$125"),MATCH('CMA Summary'!$D23,INDIRECT("'"&amp;$D$5&amp;".RawData'!$C$6:$C$125"),0),MATCH('CMA Summary'!$Q$10,INDIRECT("'"&amp;$D$5&amp;".RawData'!$D$5:$H$5"),0))),"-"),S23)</f>
        <v>0.12</v>
      </c>
      <c r="R23" s="367"/>
      <c r="S23" s="368"/>
      <c r="T23" s="14"/>
      <c r="U23" s="14" t="str">
        <f t="shared" si="3"/>
        <v>Diversified Hedge Funds</v>
      </c>
      <c r="V23" s="349" t="str">
        <v>Multi-Strategy (HF)</v>
      </c>
      <c r="W23" s="376">
        <f ca="1">IFERROR((INDEX(INDIRECT("'"&amp;$D$5&amp;".RawData'!$J$6:$CZ$125"),MATCH('CMA Summary'!$U23,INDIRECT("'"&amp;$D$5&amp;".RawData'!$I$6:$I$125"),0),MATCH('CMA Summary'!W$8,INDIRECT("'"&amp;$D$5&amp;".RawData'!$J$5:$CZ$5"),0))),"")</f>
        <v>0.7</v>
      </c>
      <c r="X23" s="376">
        <f ca="1">IFERROR((INDEX(INDIRECT("'"&amp;$D$5&amp;".RawData'!$J$6:$CZ$125"),MATCH('CMA Summary'!$U23,INDIRECT("'"&amp;$D$5&amp;".RawData'!$I$6:$I$125"),0),MATCH('CMA Summary'!X$8,INDIRECT("'"&amp;$D$5&amp;".RawData'!$J$5:$CZ$5"),0))),"")</f>
        <v>0.7</v>
      </c>
      <c r="Y23" s="376">
        <f ca="1">IFERROR((INDEX(INDIRECT("'"&amp;$D$5&amp;".RawData'!$J$6:$CZ$125"),MATCH('CMA Summary'!$U23,INDIRECT("'"&amp;$D$5&amp;".RawData'!$I$6:$I$125"),0),MATCH('CMA Summary'!Y$8,INDIRECT("'"&amp;$D$5&amp;".RawData'!$J$5:$CZ$5"),0))),"")</f>
        <v>0.65</v>
      </c>
      <c r="Z23" s="376">
        <f ca="1">IFERROR((INDEX(INDIRECT("'"&amp;$D$5&amp;".RawData'!$J$6:$CZ$125"),MATCH('CMA Summary'!$U23,INDIRECT("'"&amp;$D$5&amp;".RawData'!$I$6:$I$125"),0),MATCH('CMA Summary'!Z$8,INDIRECT("'"&amp;$D$5&amp;".RawData'!$J$5:$CZ$5"),0))),"")</f>
        <v>0</v>
      </c>
      <c r="AA23" s="376">
        <f ca="1">IFERROR((INDEX(INDIRECT("'"&amp;$D$5&amp;".RawData'!$J$6:$CZ$125"),MATCH('CMA Summary'!$U23,INDIRECT("'"&amp;$D$5&amp;".RawData'!$I$6:$I$125"),0),MATCH('CMA Summary'!AA$8,INDIRECT("'"&amp;$D$5&amp;".RawData'!$J$5:$CZ$5"),0))),"")</f>
        <v>0.7</v>
      </c>
      <c r="AB23" s="376">
        <f ca="1">IFERROR((INDEX(INDIRECT("'"&amp;$D$5&amp;".RawData'!$J$6:$CZ$125"),MATCH('CMA Summary'!$U23,INDIRECT("'"&amp;$D$5&amp;".RawData'!$I$6:$I$125"),0),MATCH('CMA Summary'!AB$8,INDIRECT("'"&amp;$D$5&amp;".RawData'!$J$5:$CZ$5"),0))),"")</f>
        <v>0.55000000000000004</v>
      </c>
      <c r="AC23" s="376">
        <f ca="1">IFERROR((INDEX(INDIRECT("'"&amp;$D$5&amp;".RawData'!$J$6:$CZ$125"),MATCH('CMA Summary'!$U23,INDIRECT("'"&amp;$D$5&amp;".RawData'!$I$6:$I$125"),0),MATCH('CMA Summary'!AC$8,INDIRECT("'"&amp;$D$5&amp;".RawData'!$J$5:$CZ$5"),0))),"")</f>
        <v>0.3</v>
      </c>
      <c r="AD23" s="376">
        <f ca="1">IFERROR((INDEX(INDIRECT("'"&amp;$D$5&amp;".RawData'!$J$6:$CZ$125"),MATCH('CMA Summary'!$U23,INDIRECT("'"&amp;$D$5&amp;".RawData'!$I$6:$I$125"),0),MATCH('CMA Summary'!AD$8,INDIRECT("'"&amp;$D$5&amp;".RawData'!$J$5:$CZ$5"),0))),"")</f>
        <v>0</v>
      </c>
      <c r="AE23" s="376">
        <f ca="1">IFERROR((INDEX(INDIRECT("'"&amp;$D$5&amp;".RawData'!$J$6:$CZ$125"),MATCH('CMA Summary'!$U23,INDIRECT("'"&amp;$D$5&amp;".RawData'!$I$6:$I$125"),0),MATCH('CMA Summary'!AE$8,INDIRECT("'"&amp;$D$5&amp;".RawData'!$J$5:$CZ$5"),0))),"")</f>
        <v>0.2</v>
      </c>
      <c r="AF23" s="376">
        <f ca="1">IFERROR((INDEX(INDIRECT("'"&amp;$D$5&amp;".RawData'!$J$6:$CZ$125"),MATCH('CMA Summary'!$U23,INDIRECT("'"&amp;$D$5&amp;".RawData'!$I$6:$I$125"),0),MATCH('CMA Summary'!AF$8,INDIRECT("'"&amp;$D$5&amp;".RawData'!$J$5:$CZ$5"),0))),"")</f>
        <v>0</v>
      </c>
      <c r="AG23" s="378">
        <f ca="1">IFERROR((INDEX(INDIRECT("'"&amp;$D$5&amp;".RawData'!$J$6:$CZ$125"),MATCH('CMA Summary'!$U23,INDIRECT("'"&amp;$D$5&amp;".RawData'!$I$6:$I$125"),0),MATCH('CMA Summary'!AG$8,INDIRECT("'"&amp;$D$5&amp;".RawData'!$J$5:$CZ$5"),0))),"")</f>
        <v>1</v>
      </c>
      <c r="AH23" s="370">
        <f ca="1"/>
        <v>4.4000000000000004E-2</v>
      </c>
      <c r="AI23" s="370">
        <f t="shared" ca="1" si="6"/>
        <v>1.2701705922171768E-2</v>
      </c>
      <c r="AJ23" s="371">
        <f t="shared" ca="1" si="4"/>
        <v>1.9360000000000004E-3</v>
      </c>
      <c r="AK23" s="371">
        <f t="shared" ref="AK23" ca="1" si="15">IF(AH23="","",(AH23/SQRT(12))^2)</f>
        <v>1.6133333333333337E-4</v>
      </c>
      <c r="AM23" s="349" t="str">
        <v>Multi-Strategy (HF)</v>
      </c>
      <c r="AN23" s="61">
        <f t="shared" ca="1" si="7"/>
        <v>5.2360000000000011E-3</v>
      </c>
      <c r="AO23" s="61">
        <f t="shared" ca="1" si="8"/>
        <v>5.5440000000000003E-3</v>
      </c>
      <c r="AP23" s="61">
        <f t="shared" ca="1" si="9"/>
        <v>5.7200000000000024E-4</v>
      </c>
      <c r="AQ23" s="61">
        <f t="shared" ca="1" si="10"/>
        <v>0</v>
      </c>
      <c r="AR23" s="61">
        <f t="shared" ca="1" si="11"/>
        <v>3.3880000000000013E-3</v>
      </c>
      <c r="AS23" s="61">
        <f t="shared" ca="1" si="12"/>
        <v>1.6940000000000006E-3</v>
      </c>
      <c r="AT23" s="61">
        <f t="shared" ca="1" si="13"/>
        <v>2.6400000000000004E-3</v>
      </c>
      <c r="AU23" s="61">
        <f t="shared" ca="1" si="14"/>
        <v>0</v>
      </c>
      <c r="AV23" s="61">
        <f ca="1">IFERROR((AE23*$AI23*$AI$21*12),"")</f>
        <v>1.3200000000000002E-3</v>
      </c>
      <c r="AW23" s="61">
        <f ca="1">IFERROR((AF23*$AI23*$AI$22*12),"")</f>
        <v>0</v>
      </c>
      <c r="AX23" s="77">
        <f ca="1">IFERROR($AJ$23,"")</f>
        <v>1.9360000000000004E-3</v>
      </c>
      <c r="BB23">
        <f ca="1"/>
        <v>5.2360000000000011E-3</v>
      </c>
      <c r="BC23">
        <f ca="1"/>
        <v>5.5440000000000003E-3</v>
      </c>
      <c r="BD23">
        <f ca="1"/>
        <v>5.7200000000000024E-4</v>
      </c>
      <c r="BE23">
        <f ca="1"/>
        <v>0</v>
      </c>
      <c r="BF23">
        <f ca="1"/>
        <v>3.3880000000000013E-3</v>
      </c>
      <c r="BG23">
        <f ca="1"/>
        <v>1.6940000000000006E-3</v>
      </c>
      <c r="BH23">
        <f ca="1"/>
        <v>2.6400000000000004E-3</v>
      </c>
      <c r="BI23">
        <f ca="1"/>
        <v>0</v>
      </c>
      <c r="BJ23">
        <f ca="1"/>
        <v>1.3200000000000002E-3</v>
      </c>
      <c r="BK23">
        <f ca="1"/>
        <v>0</v>
      </c>
      <c r="BL23">
        <f ca="1"/>
        <v>1.9360000000000004E-3</v>
      </c>
    </row>
    <row r="24" spans="2:64" ht="17.75" customHeight="1" outlineLevel="1">
      <c r="B24" s="357" t="s">
        <v>26</v>
      </c>
      <c r="C24" s="357"/>
      <c r="D24" s="571" t="str">
        <f>INDEX(SelectedAssetClass.Data!$D$7:$I$50,MATCH('CMA Summary'!$B24,SelectedAssetClass.Data!$B$7:$B$50,0),MATCH('CMA Summary'!$D$5,SelectedAssetClass.Data!$D$6:$I$6,0))</f>
        <v>Diversified Hedge Funds</v>
      </c>
      <c r="E24" s="572"/>
      <c r="F24" s="572"/>
      <c r="G24" s="572"/>
      <c r="H24" s="572"/>
      <c r="I24" s="573"/>
      <c r="J24" s="358"/>
      <c r="K24" s="358"/>
      <c r="L24" s="358"/>
      <c r="M24" s="359">
        <f ca="1">IF(R24="",IFERROR((INDEX(INDIRECT("'"&amp;$D$5&amp;".RawData'!$D$6:$G$125"),MATCH('CMA Summary'!$D24,INDIRECT("'"&amp;$D$5&amp;".RawData'!$C$6:$C$125"),0),MATCH('CMA Summary'!$M$10,INDIRECT("'"&amp;$D$5&amp;".RawData'!$D$5:$H$5"),0))),"-"),R24)</f>
        <v>4.2500000000000003E-2</v>
      </c>
      <c r="N24" s="360"/>
      <c r="O24" s="360"/>
      <c r="P24" s="360"/>
      <c r="Q24" s="361">
        <f ca="1">IF(S24="",IFERROR((INDEX(INDIRECT("'"&amp;$D$5&amp;".RawData'!$D$6:$G$125"),MATCH('CMA Summary'!$D24,INDIRECT("'"&amp;$D$5&amp;".RawData'!$C$6:$C$125"),0),MATCH('CMA Summary'!$Q$10,INDIRECT("'"&amp;$D$5&amp;".RawData'!$D$5:$H$5"),0))),"-"),S24)</f>
        <v>4.4000000000000004E-2</v>
      </c>
      <c r="R24" s="362"/>
      <c r="S24" s="363"/>
      <c r="T24" s="14"/>
      <c r="U24" s="14"/>
      <c r="V24" s="577"/>
      <c r="W24" s="577"/>
      <c r="X24" s="577"/>
      <c r="Y24" s="577"/>
      <c r="Z24" s="577"/>
      <c r="AA24" s="577"/>
      <c r="AB24" s="577"/>
      <c r="AC24" s="577"/>
      <c r="AD24" s="577"/>
      <c r="AE24" s="577"/>
      <c r="AF24" s="577"/>
      <c r="AG24" s="577"/>
      <c r="AH24" s="577"/>
      <c r="AI24" s="577"/>
      <c r="AJ24" s="577"/>
      <c r="AK24" s="578"/>
      <c r="AM24" s="577"/>
      <c r="AN24" s="577"/>
      <c r="AO24" s="577"/>
      <c r="AP24" s="577"/>
      <c r="AQ24" s="577"/>
      <c r="AR24" s="577"/>
      <c r="AS24" s="577"/>
      <c r="AT24" s="577"/>
      <c r="AU24" s="577"/>
      <c r="AV24" s="577"/>
      <c r="AW24" s="577"/>
      <c r="AX24" s="577"/>
    </row>
    <row r="25" spans="2:64" ht="17.75" customHeight="1" outlineLevel="1">
      <c r="M25" s="80"/>
      <c r="N25" s="80"/>
      <c r="O25" s="80"/>
      <c r="P25" s="80"/>
      <c r="Q25" s="80"/>
      <c r="R25" s="80"/>
      <c r="S25" s="80"/>
      <c r="T25" s="14"/>
      <c r="U25" s="14"/>
      <c r="V25" s="51"/>
      <c r="Z25" s="33"/>
      <c r="AA25" s="33"/>
      <c r="AB25" s="33"/>
      <c r="AC25" s="33"/>
      <c r="AF25" s="33"/>
      <c r="AG25" s="33"/>
      <c r="AH25" s="33"/>
      <c r="AI25" s="33"/>
      <c r="AJ25" s="33"/>
      <c r="AK25" s="33"/>
      <c r="AM25" s="51"/>
      <c r="AP25" s="33"/>
      <c r="AQ25" s="33"/>
      <c r="AR25" s="33"/>
      <c r="AS25" s="33"/>
      <c r="AV25" s="33"/>
      <c r="AW25" s="33"/>
      <c r="AX25" s="33"/>
    </row>
    <row r="26" spans="2:64" ht="12" customHeight="1" outlineLevel="1">
      <c r="B26" s="20"/>
      <c r="C26" s="20"/>
      <c r="D26" s="55"/>
      <c r="E26" s="55"/>
      <c r="F26" s="55"/>
      <c r="G26" s="55"/>
      <c r="H26" s="55"/>
      <c r="I26" s="55"/>
      <c r="J26" s="55"/>
      <c r="K26" s="55"/>
      <c r="L26" s="55"/>
      <c r="M26" s="54"/>
      <c r="N26" s="54"/>
      <c r="O26" s="54"/>
      <c r="P26" s="54"/>
      <c r="Q26" s="54"/>
      <c r="R26" s="54"/>
      <c r="S26" s="54"/>
      <c r="T26" s="14"/>
      <c r="U26" s="14"/>
      <c r="V26" s="51"/>
      <c r="Z26" s="33"/>
      <c r="AA26" s="33"/>
      <c r="AB26" s="33"/>
      <c r="AC26" s="33"/>
      <c r="AF26" s="33"/>
      <c r="AG26" s="33"/>
      <c r="AH26" s="33"/>
      <c r="AI26" s="33"/>
      <c r="AJ26" s="33"/>
      <c r="AK26" s="33"/>
      <c r="AM26" s="51"/>
      <c r="AP26" s="33"/>
      <c r="AQ26" s="33"/>
      <c r="AR26" s="33"/>
      <c r="AS26" s="33"/>
      <c r="AV26" s="33"/>
      <c r="AW26" s="33"/>
      <c r="AX26" s="33"/>
    </row>
    <row r="27" spans="2:64" ht="15.75" customHeight="1" outlineLevel="1">
      <c r="B27" s="574"/>
      <c r="C27" s="574"/>
      <c r="D27" s="574"/>
      <c r="E27" s="574"/>
      <c r="F27" s="574"/>
      <c r="G27" s="574"/>
      <c r="H27" s="574"/>
      <c r="I27" s="574"/>
      <c r="J27" s="574"/>
      <c r="K27" s="574"/>
      <c r="L27" s="574"/>
      <c r="M27" s="574"/>
      <c r="N27" s="574"/>
      <c r="O27" s="574"/>
      <c r="P27" s="574"/>
      <c r="Q27" s="574"/>
      <c r="R27" s="574"/>
      <c r="S27" s="574"/>
      <c r="T27" s="574"/>
      <c r="U27" s="574"/>
      <c r="V27" s="574"/>
      <c r="W27" s="574"/>
      <c r="X27" s="574"/>
      <c r="Y27" s="574"/>
      <c r="Z27" s="574"/>
      <c r="AA27" s="574"/>
      <c r="AB27" s="574"/>
      <c r="AC27" s="574"/>
      <c r="AD27" s="574"/>
      <c r="AE27" s="574"/>
      <c r="AF27" s="574"/>
      <c r="AG27" s="574"/>
      <c r="AH27" s="574"/>
      <c r="AI27" s="574"/>
      <c r="AJ27" s="574"/>
      <c r="AK27" s="574"/>
      <c r="AL27" s="574"/>
      <c r="AM27" s="574"/>
      <c r="AN27" s="574"/>
      <c r="AO27" s="574"/>
      <c r="AP27" s="574"/>
      <c r="AQ27" s="574"/>
      <c r="AR27" s="574"/>
      <c r="AS27" s="574"/>
      <c r="AT27" s="574"/>
      <c r="AU27" s="574"/>
      <c r="AV27" s="574"/>
      <c r="AW27" s="574"/>
      <c r="AX27" s="574"/>
      <c r="AY27" s="20"/>
    </row>
    <row r="28" spans="2:64" ht="15.75" customHeight="1" outlineLevel="1">
      <c r="B28" s="574"/>
      <c r="C28" s="574"/>
      <c r="D28" s="574"/>
      <c r="E28" s="574"/>
      <c r="F28" s="574"/>
      <c r="G28" s="574"/>
      <c r="H28" s="574"/>
      <c r="I28" s="574"/>
      <c r="J28" s="574"/>
      <c r="K28" s="574"/>
      <c r="L28" s="574"/>
      <c r="M28" s="574"/>
      <c r="N28" s="574"/>
      <c r="O28" s="574"/>
      <c r="P28" s="574"/>
      <c r="Q28" s="574"/>
      <c r="R28" s="574"/>
      <c r="S28" s="574"/>
      <c r="T28" s="574"/>
      <c r="U28" s="574"/>
      <c r="V28" s="574"/>
      <c r="W28" s="574"/>
      <c r="X28" s="574"/>
      <c r="Y28" s="574"/>
      <c r="Z28" s="574"/>
      <c r="AA28" s="574"/>
      <c r="AB28" s="574"/>
      <c r="AC28" s="574"/>
      <c r="AD28" s="574"/>
      <c r="AE28" s="574"/>
      <c r="AF28" s="574"/>
      <c r="AG28" s="574"/>
      <c r="AH28" s="574"/>
      <c r="AI28" s="574"/>
      <c r="AJ28" s="574"/>
      <c r="AK28" s="574"/>
      <c r="AL28" s="574"/>
      <c r="AM28" s="574"/>
      <c r="AN28" s="574"/>
      <c r="AO28" s="574"/>
      <c r="AP28" s="574"/>
      <c r="AQ28" s="574"/>
      <c r="AR28" s="574"/>
      <c r="AS28" s="574"/>
      <c r="AT28" s="574"/>
      <c r="AU28" s="574"/>
      <c r="AV28" s="574"/>
      <c r="AW28" s="574"/>
      <c r="AX28" s="574"/>
      <c r="AY28" s="20"/>
    </row>
    <row r="29" spans="2:64" ht="18" customHeight="1" thickBot="1">
      <c r="B29" s="20"/>
      <c r="C29" s="20"/>
      <c r="D29" s="55"/>
      <c r="E29" s="55"/>
      <c r="F29" s="55"/>
      <c r="G29" s="55"/>
      <c r="H29" s="55"/>
      <c r="I29" s="55"/>
      <c r="J29" s="55"/>
      <c r="K29" s="55"/>
      <c r="L29" s="55"/>
      <c r="M29" s="54"/>
      <c r="N29" s="54"/>
      <c r="O29" s="54"/>
      <c r="P29" s="54"/>
      <c r="Q29" s="54"/>
      <c r="R29" s="54"/>
      <c r="S29" s="54"/>
      <c r="T29" s="20"/>
      <c r="U29" s="20"/>
      <c r="V29" s="54"/>
      <c r="Y29" s="33"/>
      <c r="Z29" s="33"/>
      <c r="AA29" s="33"/>
      <c r="AB29" s="33"/>
      <c r="AE29" s="33"/>
      <c r="AF29" s="33"/>
      <c r="AG29" s="33"/>
      <c r="AH29" s="33"/>
      <c r="AI29" s="33"/>
      <c r="AJ29" s="33"/>
      <c r="AK29" s="33"/>
    </row>
    <row r="30" spans="2:64" ht="34.5" customHeight="1">
      <c r="B30" s="44"/>
      <c r="C30" s="44"/>
      <c r="D30" s="605"/>
      <c r="E30" s="605"/>
      <c r="F30" s="42"/>
      <c r="G30" s="42"/>
      <c r="H30" s="42"/>
      <c r="I30" s="602" t="s">
        <v>85</v>
      </c>
      <c r="J30" s="603"/>
      <c r="K30" s="603"/>
      <c r="L30" s="603"/>
      <c r="M30" s="603"/>
      <c r="N30" s="603"/>
      <c r="O30" s="603"/>
      <c r="P30" s="603"/>
      <c r="Q30" s="604"/>
      <c r="R30" s="121"/>
      <c r="S30" s="465"/>
      <c r="T30" s="465"/>
      <c r="U30" s="465"/>
      <c r="V30" s="465"/>
      <c r="W30" s="465"/>
      <c r="X30" s="465"/>
      <c r="Y30" s="465"/>
      <c r="Z30" s="465"/>
      <c r="AA30" s="465"/>
      <c r="AB30" s="465"/>
      <c r="AC30" s="146"/>
      <c r="AD30" s="146"/>
      <c r="AF30" s="146"/>
      <c r="AG30" s="146"/>
      <c r="AH30" s="146"/>
      <c r="AI30" s="146"/>
      <c r="AJ30" s="146"/>
      <c r="AK30" s="146"/>
      <c r="AL30" s="146"/>
      <c r="AM30" s="146"/>
      <c r="AN30" s="78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78"/>
    </row>
    <row r="31" spans="2:64" ht="42.75" customHeight="1">
      <c r="B31" s="435"/>
      <c r="C31" s="435"/>
      <c r="D31" s="350" t="s">
        <v>86</v>
      </c>
      <c r="E31" s="433" t="s">
        <v>75</v>
      </c>
      <c r="F31" s="108"/>
      <c r="G31" s="108"/>
      <c r="H31" s="108"/>
      <c r="I31" s="430" t="s">
        <v>3</v>
      </c>
      <c r="J31" s="431"/>
      <c r="K31" s="431"/>
      <c r="L31" s="431"/>
      <c r="M31" s="432" t="s">
        <v>52</v>
      </c>
      <c r="N31" s="433"/>
      <c r="O31" s="433"/>
      <c r="P31" s="433"/>
      <c r="Q31" s="434" t="s">
        <v>5</v>
      </c>
      <c r="R31" s="108"/>
      <c r="S31" s="108"/>
      <c r="T31" s="20"/>
      <c r="U31" s="20"/>
    </row>
    <row r="32" spans="2:64" ht="17.75" customHeight="1">
      <c r="B32" s="379" t="s">
        <v>13</v>
      </c>
      <c r="C32" s="380"/>
      <c r="D32" s="381">
        <f>SUM(D33:D35)</f>
        <v>0.6</v>
      </c>
      <c r="E32" s="381">
        <f>SUM(E33:E35)</f>
        <v>0.27272727272727271</v>
      </c>
      <c r="F32" s="382"/>
      <c r="G32" s="382"/>
      <c r="H32" s="382"/>
      <c r="I32" s="383">
        <f t="shared" ref="I32" si="16">SUM(I33:I35)</f>
        <v>0.59999999999999987</v>
      </c>
      <c r="J32" s="384"/>
      <c r="K32" s="384"/>
      <c r="L32" s="384"/>
      <c r="M32" s="385">
        <f t="shared" ref="M32:Q32" si="17">SUM(M33:M35)</f>
        <v>0.5</v>
      </c>
      <c r="N32" s="386"/>
      <c r="O32" s="386"/>
      <c r="P32" s="386"/>
      <c r="Q32" s="387">
        <f t="shared" si="17"/>
        <v>0.3</v>
      </c>
      <c r="R32" s="101"/>
      <c r="S32" s="101"/>
    </row>
    <row r="33" spans="2:37" ht="17.75" customHeight="1">
      <c r="B33" s="388" t="s">
        <v>14</v>
      </c>
      <c r="C33" s="389"/>
      <c r="D33" s="390">
        <v>0.42</v>
      </c>
      <c r="E33" s="391">
        <f>IFERROR(INDEX($B$51:$Q$68,MATCH($B33,$B$51:$B$68,0),4),"")</f>
        <v>9.0909090909090912E-2</v>
      </c>
      <c r="F33" s="392"/>
      <c r="G33" s="392"/>
      <c r="H33" s="392"/>
      <c r="I33" s="393">
        <f>IFERROR(INDEX($B$51:$Q$68,MATCH($B33,$B$51:$B$68,0),8),"")</f>
        <v>0.35999999999999993</v>
      </c>
      <c r="J33" s="394"/>
      <c r="K33" s="394"/>
      <c r="L33" s="394"/>
      <c r="M33" s="395">
        <f>IFERROR(INDEX($B$51:$Q$68,MATCH($B33,$B$51:$B$68,0),12),"")</f>
        <v>0.3</v>
      </c>
      <c r="N33" s="392"/>
      <c r="O33" s="392"/>
      <c r="P33" s="392"/>
      <c r="Q33" s="396">
        <f>IFERROR(INDEX($B$51:$Q$68,MATCH($B33,$B$51:$B$68,0),16),"")</f>
        <v>0.18</v>
      </c>
      <c r="R33" s="100"/>
      <c r="S33" s="100"/>
      <c r="V33" s="553"/>
      <c r="W33" s="553"/>
      <c r="X33" s="553"/>
      <c r="Y33" s="553"/>
      <c r="Z33" s="553"/>
      <c r="AA33" s="553"/>
      <c r="AB33" s="553"/>
      <c r="AC33" s="553"/>
      <c r="AD33" s="553"/>
    </row>
    <row r="34" spans="2:37" ht="17.75" customHeight="1">
      <c r="B34" s="397" t="s">
        <v>15</v>
      </c>
      <c r="C34" s="389"/>
      <c r="D34" s="398">
        <v>0.18</v>
      </c>
      <c r="E34" s="399">
        <f t="shared" ref="E34:E35" si="18">IFERROR(INDEX($B$51:$Q$68,MATCH($B34,$B$51:$B$68,0),4),"")</f>
        <v>9.0909090909090912E-2</v>
      </c>
      <c r="F34" s="392"/>
      <c r="G34" s="392"/>
      <c r="H34" s="392"/>
      <c r="I34" s="400">
        <f t="shared" ref="I34:I35" si="19">IFERROR(INDEX($B$51:$Q$68,MATCH($B34,$B$51:$B$68,0),8),"")</f>
        <v>0.18</v>
      </c>
      <c r="J34" s="394"/>
      <c r="K34" s="394"/>
      <c r="L34" s="394"/>
      <c r="M34" s="401">
        <f t="shared" ref="M34:M35" si="20">IFERROR(INDEX($B$51:$Q$68,MATCH($B34,$B$51:$B$68,0),12),"")</f>
        <v>0.14000000000000001</v>
      </c>
      <c r="N34" s="392"/>
      <c r="O34" s="392"/>
      <c r="P34" s="392"/>
      <c r="Q34" s="402">
        <f t="shared" ref="Q34:Q35" si="21">IFERROR(INDEX($B$51:$Q$68,MATCH($B34,$B$51:$B$68,0),16),"")</f>
        <v>0.12</v>
      </c>
      <c r="R34" s="100"/>
      <c r="S34" s="100"/>
      <c r="Y34" s="144"/>
    </row>
    <row r="35" spans="2:37" ht="17.75" customHeight="1">
      <c r="B35" s="388" t="s">
        <v>16</v>
      </c>
      <c r="C35" s="389"/>
      <c r="D35" s="390">
        <v>0</v>
      </c>
      <c r="E35" s="391">
        <f t="shared" si="18"/>
        <v>9.0909090909090912E-2</v>
      </c>
      <c r="F35" s="392"/>
      <c r="G35" s="392"/>
      <c r="H35" s="392"/>
      <c r="I35" s="393">
        <f t="shared" si="19"/>
        <v>0.06</v>
      </c>
      <c r="J35" s="394"/>
      <c r="K35" s="394"/>
      <c r="L35" s="394"/>
      <c r="M35" s="395">
        <f t="shared" si="20"/>
        <v>0.06</v>
      </c>
      <c r="N35" s="392"/>
      <c r="O35" s="392"/>
      <c r="P35" s="392"/>
      <c r="Q35" s="396">
        <f t="shared" si="21"/>
        <v>0</v>
      </c>
      <c r="R35" s="100"/>
      <c r="S35" s="100"/>
    </row>
    <row r="36" spans="2:37" ht="17.75" customHeight="1">
      <c r="B36" s="379" t="s">
        <v>17</v>
      </c>
      <c r="C36" s="380"/>
      <c r="D36" s="381">
        <f>SUM(D37:D39)</f>
        <v>0.4</v>
      </c>
      <c r="E36" s="381">
        <f>SUM(E37:E39)</f>
        <v>0.27272727272727271</v>
      </c>
      <c r="F36" s="382"/>
      <c r="G36" s="382"/>
      <c r="H36" s="382"/>
      <c r="I36" s="383">
        <f t="shared" ref="I36" si="22">SUM(I37:I39)</f>
        <v>9.9999999999999936E-2</v>
      </c>
      <c r="J36" s="384"/>
      <c r="K36" s="384"/>
      <c r="L36" s="384"/>
      <c r="M36" s="385">
        <f t="shared" ref="M36:Q36" si="23">SUM(M37:M39)</f>
        <v>0.19999999999999971</v>
      </c>
      <c r="N36" s="386"/>
      <c r="O36" s="386"/>
      <c r="P36" s="386"/>
      <c r="Q36" s="387">
        <f t="shared" si="23"/>
        <v>0.39999999999999969</v>
      </c>
      <c r="R36" s="101"/>
      <c r="S36" s="101"/>
      <c r="Y36" s="144"/>
    </row>
    <row r="37" spans="2:37" ht="17.75" customHeight="1">
      <c r="B37" s="388" t="s">
        <v>18</v>
      </c>
      <c r="C37" s="389"/>
      <c r="D37" s="390">
        <v>0.4</v>
      </c>
      <c r="E37" s="399">
        <f t="shared" ref="E37:E39" si="24">IFERROR(INDEX($B$51:$Q$68,MATCH($B37,$B$51:$B$68,0),4),"")</f>
        <v>9.0909090909090912E-2</v>
      </c>
      <c r="F37" s="392"/>
      <c r="G37" s="392"/>
      <c r="H37" s="392"/>
      <c r="I37" s="393">
        <f t="shared" ref="I37:I39" si="25">IFERROR(INDEX($B$51:$Q$68,MATCH($B37,$B$51:$B$68,0),8),"")</f>
        <v>9.9999999999999936E-2</v>
      </c>
      <c r="J37" s="394"/>
      <c r="K37" s="394"/>
      <c r="L37" s="394"/>
      <c r="M37" s="395">
        <f t="shared" ref="M37:M39" si="26">IFERROR(INDEX($B$51:$Q$68,MATCH($B37,$B$51:$B$68,0),12),"")</f>
        <v>0.19999999999999971</v>
      </c>
      <c r="N37" s="392"/>
      <c r="O37" s="392"/>
      <c r="P37" s="392"/>
      <c r="Q37" s="396">
        <f t="shared" ref="Q37:Q39" si="27">IFERROR(INDEX($B$51:$Q$68,MATCH($B37,$B$51:$B$68,0),16),"")</f>
        <v>0.39999999999999969</v>
      </c>
      <c r="R37" s="100"/>
      <c r="S37" s="100"/>
      <c r="Y37" s="144"/>
    </row>
    <row r="38" spans="2:37" ht="17.75" customHeight="1">
      <c r="B38" s="397" t="s">
        <v>19</v>
      </c>
      <c r="C38" s="389"/>
      <c r="D38" s="398">
        <v>0</v>
      </c>
      <c r="E38" s="399">
        <f t="shared" si="24"/>
        <v>9.0909090909090912E-2</v>
      </c>
      <c r="F38" s="392"/>
      <c r="G38" s="392"/>
      <c r="H38" s="392"/>
      <c r="I38" s="400">
        <f t="shared" si="25"/>
        <v>0</v>
      </c>
      <c r="J38" s="394"/>
      <c r="K38" s="394"/>
      <c r="L38" s="394"/>
      <c r="M38" s="401">
        <f t="shared" si="26"/>
        <v>0</v>
      </c>
      <c r="N38" s="392"/>
      <c r="O38" s="392"/>
      <c r="P38" s="392"/>
      <c r="Q38" s="402">
        <f t="shared" si="27"/>
        <v>0</v>
      </c>
      <c r="R38" s="100"/>
      <c r="S38" s="100"/>
      <c r="Y38" s="144"/>
    </row>
    <row r="39" spans="2:37" ht="17.75" customHeight="1">
      <c r="B39" s="388" t="s">
        <v>20</v>
      </c>
      <c r="C39" s="389"/>
      <c r="D39" s="390">
        <v>0</v>
      </c>
      <c r="E39" s="391">
        <f t="shared" si="24"/>
        <v>9.0909090909090912E-2</v>
      </c>
      <c r="F39" s="392"/>
      <c r="G39" s="392"/>
      <c r="H39" s="392"/>
      <c r="I39" s="393">
        <f t="shared" si="25"/>
        <v>0</v>
      </c>
      <c r="J39" s="394"/>
      <c r="K39" s="394"/>
      <c r="L39" s="394"/>
      <c r="M39" s="395">
        <f t="shared" si="26"/>
        <v>0</v>
      </c>
      <c r="N39" s="392"/>
      <c r="O39" s="392"/>
      <c r="P39" s="392"/>
      <c r="Q39" s="396">
        <f t="shared" si="27"/>
        <v>0</v>
      </c>
      <c r="R39" s="100"/>
      <c r="S39" s="100"/>
      <c r="Y39" s="144"/>
    </row>
    <row r="40" spans="2:37" ht="17.75" customHeight="1">
      <c r="B40" s="379" t="s">
        <v>21</v>
      </c>
      <c r="C40" s="380"/>
      <c r="D40" s="381">
        <f>SUM(D41:D45)</f>
        <v>0</v>
      </c>
      <c r="E40" s="381">
        <f>SUM(E41:E45)</f>
        <v>0.45454545454545459</v>
      </c>
      <c r="F40" s="382"/>
      <c r="G40" s="382"/>
      <c r="H40" s="382"/>
      <c r="I40" s="383">
        <f t="shared" ref="I40" si="28">SUM(I41:I45)</f>
        <v>0.3</v>
      </c>
      <c r="J40" s="384"/>
      <c r="K40" s="384"/>
      <c r="L40" s="384"/>
      <c r="M40" s="385">
        <f t="shared" ref="M40:Q40" si="29">SUM(M41:M45)</f>
        <v>0.3</v>
      </c>
      <c r="N40" s="386"/>
      <c r="O40" s="386"/>
      <c r="P40" s="386"/>
      <c r="Q40" s="387">
        <f t="shared" si="29"/>
        <v>0.3</v>
      </c>
      <c r="R40" s="101"/>
      <c r="S40" s="101"/>
      <c r="Y40" s="144"/>
    </row>
    <row r="41" spans="2:37" ht="17.75" customHeight="1">
      <c r="B41" s="357" t="s">
        <v>22</v>
      </c>
      <c r="C41" s="403"/>
      <c r="D41" s="395">
        <v>0</v>
      </c>
      <c r="E41" s="391">
        <f t="shared" ref="E41:E48" si="30">IFERROR(INDEX($B$51:$Q$68,MATCH($B41,$B$51:$B$68,0),4),"")</f>
        <v>9.0909090909090912E-2</v>
      </c>
      <c r="F41" s="392"/>
      <c r="G41" s="392"/>
      <c r="H41" s="392"/>
      <c r="I41" s="393">
        <f t="shared" ref="I41:I48" si="31">IFERROR(INDEX($B$51:$Q$68,MATCH($B41,$B$51:$B$68,0),8),"")</f>
        <v>0.24</v>
      </c>
      <c r="J41" s="394"/>
      <c r="K41" s="394"/>
      <c r="L41" s="394"/>
      <c r="M41" s="395">
        <f t="shared" ref="M41:M48" si="32">IFERROR(INDEX($B$51:$Q$68,MATCH($B41,$B$51:$B$68,0),12),"")</f>
        <v>0.21347294543090758</v>
      </c>
      <c r="N41" s="392"/>
      <c r="O41" s="392"/>
      <c r="P41" s="392"/>
      <c r="Q41" s="396">
        <f t="shared" ref="Q41:Q48" si="33">IFERROR(INDEX($B$51:$Q$68,MATCH($B41,$B$51:$B$68,0),16),"")</f>
        <v>0.18</v>
      </c>
      <c r="R41" s="100"/>
      <c r="S41" s="100"/>
      <c r="Y41" s="144"/>
    </row>
    <row r="42" spans="2:37" ht="17.75" customHeight="1">
      <c r="B42" s="364" t="s">
        <v>23</v>
      </c>
      <c r="C42" s="403"/>
      <c r="D42" s="401">
        <v>0</v>
      </c>
      <c r="E42" s="399">
        <f t="shared" si="30"/>
        <v>9.0909090909090912E-2</v>
      </c>
      <c r="F42" s="392"/>
      <c r="G42" s="392"/>
      <c r="H42" s="392"/>
      <c r="I42" s="400">
        <f t="shared" si="31"/>
        <v>0</v>
      </c>
      <c r="J42" s="394"/>
      <c r="K42" s="394"/>
      <c r="L42" s="394"/>
      <c r="M42" s="398">
        <f t="shared" si="32"/>
        <v>2.6527054569092417E-2</v>
      </c>
      <c r="N42" s="392"/>
      <c r="O42" s="392"/>
      <c r="P42" s="392"/>
      <c r="Q42" s="404">
        <f t="shared" si="33"/>
        <v>0.06</v>
      </c>
      <c r="R42" s="100"/>
      <c r="S42" s="100"/>
      <c r="Y42" s="144"/>
    </row>
    <row r="43" spans="2:37" ht="17.75" customHeight="1">
      <c r="B43" s="357" t="s">
        <v>24</v>
      </c>
      <c r="C43" s="403"/>
      <c r="D43" s="395">
        <v>0</v>
      </c>
      <c r="E43" s="391">
        <f t="shared" si="30"/>
        <v>9.0909090909090912E-2</v>
      </c>
      <c r="F43" s="392"/>
      <c r="G43" s="392"/>
      <c r="H43" s="392"/>
      <c r="I43" s="393">
        <f t="shared" si="31"/>
        <v>5.9999999999999991E-2</v>
      </c>
      <c r="J43" s="394"/>
      <c r="K43" s="394"/>
      <c r="L43" s="394"/>
      <c r="M43" s="390">
        <f t="shared" si="32"/>
        <v>5.9999999999999991E-2</v>
      </c>
      <c r="N43" s="392"/>
      <c r="O43" s="392"/>
      <c r="P43" s="392"/>
      <c r="Q43" s="405">
        <f t="shared" si="33"/>
        <v>0.06</v>
      </c>
      <c r="R43" s="100"/>
      <c r="S43" s="100"/>
      <c r="Y43" s="144"/>
      <c r="AK43" s="11"/>
    </row>
    <row r="44" spans="2:37" ht="17.75" customHeight="1">
      <c r="B44" s="364" t="s">
        <v>25</v>
      </c>
      <c r="C44" s="403"/>
      <c r="D44" s="401">
        <v>0</v>
      </c>
      <c r="E44" s="399">
        <f t="shared" si="30"/>
        <v>9.0909090909090912E-2</v>
      </c>
      <c r="F44" s="392"/>
      <c r="G44" s="392"/>
      <c r="H44" s="392"/>
      <c r="I44" s="400">
        <f t="shared" si="31"/>
        <v>0</v>
      </c>
      <c r="J44" s="394"/>
      <c r="K44" s="394"/>
      <c r="L44" s="394"/>
      <c r="M44" s="398">
        <f t="shared" si="32"/>
        <v>0</v>
      </c>
      <c r="N44" s="392"/>
      <c r="O44" s="392"/>
      <c r="P44" s="392"/>
      <c r="Q44" s="404">
        <f t="shared" si="33"/>
        <v>0</v>
      </c>
      <c r="R44" s="100"/>
      <c r="S44" s="100"/>
      <c r="Y44" s="144"/>
    </row>
    <row r="45" spans="2:37" ht="18" customHeight="1" thickBot="1">
      <c r="B45" s="406" t="s">
        <v>26</v>
      </c>
      <c r="C45" s="407"/>
      <c r="D45" s="408">
        <v>0</v>
      </c>
      <c r="E45" s="409">
        <f t="shared" si="30"/>
        <v>9.0909090909090912E-2</v>
      </c>
      <c r="F45" s="410"/>
      <c r="G45" s="410"/>
      <c r="H45" s="410"/>
      <c r="I45" s="411">
        <f t="shared" si="31"/>
        <v>0</v>
      </c>
      <c r="J45" s="412"/>
      <c r="K45" s="412"/>
      <c r="L45" s="412"/>
      <c r="M45" s="413">
        <f t="shared" si="32"/>
        <v>0</v>
      </c>
      <c r="N45" s="410"/>
      <c r="O45" s="410"/>
      <c r="P45" s="410"/>
      <c r="Q45" s="414">
        <f t="shared" si="33"/>
        <v>0</v>
      </c>
      <c r="R45" s="100"/>
      <c r="S45" s="100"/>
    </row>
    <row r="46" spans="2:37" ht="17.75" customHeight="1">
      <c r="B46" s="415" t="s">
        <v>10</v>
      </c>
      <c r="C46" s="416"/>
      <c r="D46" s="417">
        <f ca="1">D66</f>
        <v>5.4725999999999997E-2</v>
      </c>
      <c r="E46" s="418">
        <f t="shared" ca="1" si="30"/>
        <v>6.8609090909090897E-2</v>
      </c>
      <c r="F46" s="386"/>
      <c r="G46" s="386"/>
      <c r="H46" s="386"/>
      <c r="I46" s="419" t="str">
        <f t="shared" ca="1" si="31"/>
        <v>Error</v>
      </c>
      <c r="J46" s="386"/>
      <c r="K46" s="386"/>
      <c r="L46" s="386"/>
      <c r="M46" s="417" t="str">
        <f t="shared" ca="1" si="32"/>
        <v>Error</v>
      </c>
      <c r="N46" s="386"/>
      <c r="O46" s="386"/>
      <c r="P46" s="386"/>
      <c r="Q46" s="387" t="str">
        <f t="shared" ca="1" si="33"/>
        <v>Error</v>
      </c>
      <c r="R46" s="101"/>
      <c r="S46" s="101"/>
    </row>
    <row r="47" spans="2:37" ht="17.75" customHeight="1">
      <c r="B47" s="415" t="s">
        <v>87</v>
      </c>
      <c r="C47" s="416"/>
      <c r="D47" s="420">
        <f ca="1">D67</f>
        <v>0.10166824479649483</v>
      </c>
      <c r="E47" s="418">
        <f t="shared" ca="1" si="30"/>
        <v>7.9457041774806253E-2</v>
      </c>
      <c r="F47" s="386"/>
      <c r="G47" s="386"/>
      <c r="H47" s="386"/>
      <c r="I47" s="383" t="str">
        <f t="shared" ca="1" si="31"/>
        <v>Error</v>
      </c>
      <c r="J47" s="386"/>
      <c r="K47" s="386"/>
      <c r="L47" s="386"/>
      <c r="M47" s="420" t="str">
        <f t="shared" ca="1" si="32"/>
        <v>Error</v>
      </c>
      <c r="N47" s="386"/>
      <c r="O47" s="386"/>
      <c r="P47" s="386"/>
      <c r="Q47" s="387" t="str">
        <f t="shared" ca="1" si="33"/>
        <v>Error</v>
      </c>
      <c r="R47" s="101"/>
      <c r="S47" s="101"/>
    </row>
    <row r="48" spans="2:37" ht="17.75" customHeight="1" thickBot="1">
      <c r="B48" s="415" t="s">
        <v>88</v>
      </c>
      <c r="C48" s="416"/>
      <c r="D48" s="421">
        <f ca="1">D68</f>
        <v>0.53828016908861553</v>
      </c>
      <c r="E48" s="422">
        <f t="shared" ca="1" si="30"/>
        <v>0.86347401534957524</v>
      </c>
      <c r="F48" s="423"/>
      <c r="G48" s="423"/>
      <c r="H48" s="423"/>
      <c r="I48" s="424" t="str">
        <f t="shared" ca="1" si="31"/>
        <v>Error</v>
      </c>
      <c r="J48" s="425"/>
      <c r="K48" s="425"/>
      <c r="L48" s="425"/>
      <c r="M48" s="426" t="str">
        <f t="shared" ca="1" si="32"/>
        <v>Error</v>
      </c>
      <c r="N48" s="425"/>
      <c r="O48" s="425"/>
      <c r="P48" s="425"/>
      <c r="Q48" s="427" t="str">
        <f t="shared" ca="1" si="33"/>
        <v>Error</v>
      </c>
      <c r="R48" s="109"/>
      <c r="S48" s="109"/>
    </row>
    <row r="49" spans="2:19" ht="17.75" customHeight="1"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</row>
    <row r="50" spans="2:19" ht="36.5" hidden="1" customHeight="1" outlineLevel="1">
      <c r="B50" s="184" t="s">
        <v>2</v>
      </c>
      <c r="C50" s="122" t="s">
        <v>89</v>
      </c>
      <c r="D50" s="185" t="s">
        <v>86</v>
      </c>
      <c r="E50" s="185" t="s">
        <v>75</v>
      </c>
      <c r="F50" s="186" t="s">
        <v>90</v>
      </c>
      <c r="G50" s="186" t="s">
        <v>91</v>
      </c>
      <c r="H50" s="186" t="s">
        <v>92</v>
      </c>
      <c r="I50" s="185" t="s">
        <v>3</v>
      </c>
      <c r="J50" s="186" t="s">
        <v>90</v>
      </c>
      <c r="K50" s="186" t="s">
        <v>91</v>
      </c>
      <c r="L50" s="186" t="s">
        <v>92</v>
      </c>
      <c r="M50" s="185" t="s">
        <v>52</v>
      </c>
      <c r="N50" s="186" t="s">
        <v>90</v>
      </c>
      <c r="O50" s="186" t="s">
        <v>91</v>
      </c>
      <c r="P50" s="186" t="s">
        <v>92</v>
      </c>
      <c r="Q50" s="185" t="s">
        <v>5</v>
      </c>
      <c r="R50" s="122"/>
      <c r="S50" s="122"/>
    </row>
    <row r="51" spans="2:19" ht="17.75" hidden="1" customHeight="1" outlineLevel="1">
      <c r="B51" s="187" t="str" cm="1">
        <f t="array" ref="B51:B61">_xlfn.UNIQUE(_xlfn._xlws.FILTER($B$11:$B$24,($B$11:$B$24&lt;&gt;"Equity")*($B$11:$B$24&lt;&gt;"Fixed Income")*($B$11:$B$24&lt;&gt;"Alternatives")*(D11:D24&lt;&gt;"N/A")*($B$11:$B$24&lt;&gt;"")))</f>
        <v xml:space="preserve">U.S. Large Cap </v>
      </c>
      <c r="C51" s="188">
        <f ca="1">IFERROR(INDEX($B$11:$Q$24,MATCH($B51,$B$11:$B$24,0),12),"")</f>
        <v>7.85E-2</v>
      </c>
      <c r="D51" s="189">
        <f>IFERROR(INDEX($B$32:$D$45,MATCH($B51,$B$32:$B$45,0),3),"")</f>
        <v>0.42</v>
      </c>
      <c r="E51" s="190">
        <f>IF(B51="","",(100/COUNTA(_xlfn.ANCHORARRAY(B51)))/100)</f>
        <v>9.0909090909090912E-2</v>
      </c>
      <c r="F51" s="191" t="str">
        <f>IF($B51="","",IF(COUNTIF($B$72:$D$83,"*"&amp;$B51&amp;"*"),0,""))</f>
        <v/>
      </c>
      <c r="G51" s="191" t="str">
        <f>IF($B51="","",IFERROR((IF(INDEX($B$72:$I$83,MATCH("*"&amp;$B51&amp;"*",$B$72:$B$83,0),4)="&gt;","3",(IF(INDEX($B$72:$I$83,MATCH("*"&amp;$B51&amp;"*",$B$72:$B$83,0),4)="&lt;","1",(IF(INDEX($B$72:$I$83,MATCH("*"&amp;$B51&amp;"*",$B$72:$B$83,0),4)="=","2","")))))),""))</f>
        <v/>
      </c>
      <c r="H51" s="192" t="str">
        <f t="shared" ref="H51:H62" si="34">IF($B51="","",IFERROR(INDEX($B$72:$I$83,MATCH("*"&amp;$B51&amp;"*",$B$72:$B$83,0),8),""))</f>
        <v/>
      </c>
      <c r="I51" s="190">
        <v>0.35999999999999993</v>
      </c>
      <c r="J51" s="191" t="str">
        <f>IF($B51="","",IF(COUNTIF($B$85:$D$96,"*"&amp;$B51&amp;"*"),0,""))</f>
        <v/>
      </c>
      <c r="K51" s="191" t="str">
        <f>IF($B51="","",IFERROR((IF(INDEX($B$85:$I$96,MATCH("*"&amp;$B51&amp;"*",$B$85:$B$96,0),4)="&gt;","3",(IF(INDEX($B$85:$I$96,MATCH("*"&amp;$B51&amp;"*",$B$85:$B$96,0),4)="&lt;","1",(IF(INDEX($B$85:$I$96,MATCH("*"&amp;$B51&amp;"*",$B$85:$B$96,0),4)="=","2","")))))),""))</f>
        <v/>
      </c>
      <c r="L51" s="192" t="str">
        <f t="shared" ref="L51" si="35">IF($B51="","",IFERROR(INDEX($B$85:$I$96,MATCH("*"&amp;$B51&amp;"*",$B$85:$B$96,0),8),""))</f>
        <v/>
      </c>
      <c r="M51" s="190">
        <v>0.3</v>
      </c>
      <c r="N51" s="191" t="str">
        <f>IF($B51="","",IF(COUNTIF($B$98:$D$109,"*"&amp;$B51&amp;"*"),0,""))</f>
        <v/>
      </c>
      <c r="O51" s="191" t="str">
        <f>IF($B51="","",IFERROR((IF(INDEX($B$98:$I$109,MATCH("*"&amp;$B51&amp;"*",$B$98:$B$109,0),4)="&gt;","3",(IF(INDEX($B$98:$I$109,MATCH("*"&amp;$B51&amp;"*",$B$98:$B$109,0),4)="&lt;","1",(IF(INDEX($B$98:$I$109,MATCH("*"&amp;$B51&amp;"*",$B$98:$B$109,0),4)="=","2","")))))),""))</f>
        <v/>
      </c>
      <c r="P51" s="192" t="str">
        <f>IF($B51="","",IFERROR(INDEX($B$98:$I$109,MATCH("*"&amp;$B51&amp;"*",$B$98:$B$109,0),8),""))</f>
        <v/>
      </c>
      <c r="Q51" s="190">
        <v>0.18</v>
      </c>
      <c r="R51" s="112"/>
      <c r="S51" s="112"/>
    </row>
    <row r="52" spans="2:19" ht="17.75" hidden="1" customHeight="1" outlineLevel="1">
      <c r="B52" s="176" t="str">
        <v xml:space="preserve">Non-U.S. Developed </v>
      </c>
      <c r="C52" s="123">
        <f t="shared" ref="C52:C61" ca="1" si="36">IFERROR(INDEX($B$11:$Q$24,MATCH($B52,$B$11:$B$24,0),12),"")</f>
        <v>8.0199999999999994E-2</v>
      </c>
      <c r="D52" s="177">
        <f t="shared" ref="D52:D61" si="37">IFERROR(INDEX($B$32:$D$45,MATCH($B52,$B$32:$B$45,0),3),"")</f>
        <v>0.18</v>
      </c>
      <c r="E52" s="178">
        <f>IF(B52="","",(100/COUNTA(_xlfn.ANCHORARRAY(B51)))/100)</f>
        <v>9.0909090909090912E-2</v>
      </c>
      <c r="F52" s="95">
        <f t="shared" ref="F52:F68" si="38">IF($B52="","",IF(COUNTIF($B$72:$D$83,"*"&amp;$B52&amp;"*"),0,""))</f>
        <v>0</v>
      </c>
      <c r="G52" s="95" t="str">
        <f t="shared" ref="G52:G54" si="39">IF($B52="","",IFERROR((IF(INDEX($B$72:$I$83,MATCH("*"&amp;$B52&amp;"*",$B$72:$B$83,0),4)="&gt;","3",(IF(INDEX($B$72:$I$83,MATCH("*"&amp;$B52&amp;"*",$B$72:$B$83,0),4)="&lt;","1",(IF(INDEX($B$72:$I$83,MATCH("*"&amp;$B52&amp;"*",$B$72:$B$83,0),4)="=","2","")))))),""))</f>
        <v>1</v>
      </c>
      <c r="H52" s="97">
        <f t="shared" si="34"/>
        <v>0.18</v>
      </c>
      <c r="I52" s="178">
        <v>0.18</v>
      </c>
      <c r="J52" s="95">
        <f t="shared" ref="J52:J65" si="40">IF($B52="","",IF(COUNTIF($B$85:$D$96,"*"&amp;$B52&amp;"*"),0,""))</f>
        <v>0</v>
      </c>
      <c r="K52" s="95" t="str">
        <f t="shared" ref="K52:K65" si="41">IF($B52="","",IFERROR((IF(INDEX($B$85:$I$96,MATCH("*"&amp;$B52&amp;"*",$B$85:$B$96,0),4)="&gt;","3",(IF(INDEX($B$85:$I$96,MATCH("*"&amp;$B52&amp;"*",$B$85:$B$96,0),4)="&lt;","1",(IF(INDEX($B$85:$I$96,MATCH("*"&amp;$B52&amp;"*",$B$85:$B$96,0),4)="=","2","")))))),""))</f>
        <v>1</v>
      </c>
      <c r="L52" s="97">
        <f>IF($B52="","",IFERROR(INDEX($B$85:$I$96,MATCH("*"&amp;$B52&amp;"*",$B$85:$B$96,0),8),""))</f>
        <v>0.14000000000000001</v>
      </c>
      <c r="M52" s="178">
        <v>0.14000000000000001</v>
      </c>
      <c r="N52" s="95">
        <f t="shared" ref="N52:N65" si="42">IF($B52="","",IF(COUNTIF($B$98:$D$109,"*"&amp;$B52&amp;"*"),0,""))</f>
        <v>0</v>
      </c>
      <c r="O52" s="95" t="str">
        <f t="shared" ref="O52:O65" si="43">IF($B52="","",IFERROR((IF(INDEX($B$98:$I$109,MATCH("*"&amp;$B52&amp;"*",$B$98:$B$109,0),4)="&gt;","3",(IF(INDEX($B$98:$I$109,MATCH("*"&amp;$B52&amp;"*",$B$98:$B$109,0),4)="&lt;","1",(IF(INDEX($B$98:$I$109,MATCH("*"&amp;$B52&amp;"*",$B$98:$B$109,0),4)="=","2","")))))),""))</f>
        <v>1</v>
      </c>
      <c r="P52" s="97">
        <f t="shared" ref="P52:P65" si="44">IF($B52="","",IFERROR(INDEX($B$98:$I$109,MATCH("*"&amp;$B52&amp;"*",$B$98:$B$109,0),8),""))</f>
        <v>0.12</v>
      </c>
      <c r="Q52" s="178">
        <v>0.12</v>
      </c>
      <c r="R52" s="112"/>
      <c r="S52" s="112"/>
    </row>
    <row r="53" spans="2:19" ht="17.75" hidden="1" customHeight="1" outlineLevel="1">
      <c r="B53" s="176" t="str">
        <v xml:space="preserve">Emerging Markets </v>
      </c>
      <c r="C53" s="123">
        <f t="shared" ca="1" si="36"/>
        <v>0.10279999999999999</v>
      </c>
      <c r="D53" s="177">
        <f t="shared" si="37"/>
        <v>0</v>
      </c>
      <c r="E53" s="178">
        <f>IF(B53="","",(100/COUNTA(_xlfn.ANCHORARRAY(B51)))/100)</f>
        <v>9.0909090909090912E-2</v>
      </c>
      <c r="F53" s="95">
        <f t="shared" si="38"/>
        <v>0</v>
      </c>
      <c r="G53" s="95" t="str">
        <f t="shared" si="39"/>
        <v>1</v>
      </c>
      <c r="H53" s="97">
        <f t="shared" si="34"/>
        <v>0.06</v>
      </c>
      <c r="I53" s="178">
        <v>0.06</v>
      </c>
      <c r="J53" s="95">
        <f t="shared" si="40"/>
        <v>0</v>
      </c>
      <c r="K53" s="95" t="str">
        <f t="shared" si="41"/>
        <v>1</v>
      </c>
      <c r="L53" s="97">
        <f t="shared" ref="L53:L65" si="45">IF($B53="","",IFERROR(INDEX($B$85:$I$96,MATCH("*"&amp;$B53&amp;"*",$B$85:$B$96,0),8),""))</f>
        <v>0.06</v>
      </c>
      <c r="M53" s="178">
        <v>0.06</v>
      </c>
      <c r="N53" s="95">
        <f t="shared" si="42"/>
        <v>0</v>
      </c>
      <c r="O53" s="95" t="str">
        <f t="shared" si="43"/>
        <v>1</v>
      </c>
      <c r="P53" s="97">
        <f t="shared" si="44"/>
        <v>0</v>
      </c>
      <c r="Q53" s="178">
        <v>0</v>
      </c>
      <c r="R53" s="112"/>
      <c r="S53" s="112"/>
    </row>
    <row r="54" spans="2:19" ht="17.75" hidden="1" customHeight="1" outlineLevel="1">
      <c r="B54" s="176" t="str">
        <v>U.S. Aggregate Bonds</v>
      </c>
      <c r="C54" s="123">
        <f t="shared" ca="1" si="36"/>
        <v>1.83E-2</v>
      </c>
      <c r="D54" s="177">
        <f t="shared" si="37"/>
        <v>0.4</v>
      </c>
      <c r="E54" s="178">
        <f>IF(B54="","",(100/COUNTA(_xlfn.ANCHORARRAY(B51)))/100)</f>
        <v>9.0909090909090912E-2</v>
      </c>
      <c r="F54" s="95" t="str">
        <f t="shared" si="38"/>
        <v/>
      </c>
      <c r="G54" s="95" t="str">
        <f t="shared" si="39"/>
        <v/>
      </c>
      <c r="H54" s="97" t="str">
        <f t="shared" si="34"/>
        <v/>
      </c>
      <c r="I54" s="178">
        <v>9.9999999999999936E-2</v>
      </c>
      <c r="J54" s="95" t="str">
        <f t="shared" si="40"/>
        <v/>
      </c>
      <c r="K54" s="95" t="str">
        <f t="shared" si="41"/>
        <v/>
      </c>
      <c r="L54" s="97" t="str">
        <f t="shared" si="45"/>
        <v/>
      </c>
      <c r="M54" s="178">
        <v>0.19999999999999971</v>
      </c>
      <c r="N54" s="95" t="str">
        <f t="shared" si="42"/>
        <v/>
      </c>
      <c r="O54" s="95" t="str">
        <f t="shared" si="43"/>
        <v/>
      </c>
      <c r="P54" s="97" t="str">
        <f t="shared" si="44"/>
        <v/>
      </c>
      <c r="Q54" s="178">
        <v>0.39999999999999969</v>
      </c>
      <c r="R54" s="112"/>
      <c r="S54" s="112"/>
    </row>
    <row r="55" spans="2:19" ht="17.75" hidden="1" customHeight="1" outlineLevel="1">
      <c r="B55" s="176" t="str">
        <v>U.S. High Yield</v>
      </c>
      <c r="C55" s="123">
        <f t="shared" ca="1" si="36"/>
        <v>4.7100000000000003E-2</v>
      </c>
      <c r="D55" s="177">
        <f t="shared" si="37"/>
        <v>0</v>
      </c>
      <c r="E55" s="178">
        <f>IF(B55="","",(100/COUNTA(_xlfn.ANCHORARRAY(B51)))/100)</f>
        <v>9.0909090909090912E-2</v>
      </c>
      <c r="F55" s="95" t="str">
        <f t="shared" si="38"/>
        <v/>
      </c>
      <c r="G55" s="95" t="str">
        <f>IF($B55="","",IFERROR((IF(INDEX($B$72:$I$83,MATCH("*"&amp;$B55&amp;"*",$B$72:$B$83,0),4)="&gt;","3",(IF(INDEX($B$72:$I$83,MATCH("*"&amp;$B55&amp;"*",$B$72:$B$83,0),4)="&lt;","1",(IF(INDEX($B$72:$I$83,MATCH("*"&amp;$B55&amp;"*",$B$72:$B$83,0),4)="=","2","")))))),""))</f>
        <v/>
      </c>
      <c r="H55" s="97" t="str">
        <f t="shared" si="34"/>
        <v/>
      </c>
      <c r="I55" s="178">
        <v>0</v>
      </c>
      <c r="J55" s="95" t="str">
        <f t="shared" si="40"/>
        <v/>
      </c>
      <c r="K55" s="95" t="str">
        <f t="shared" si="41"/>
        <v/>
      </c>
      <c r="L55" s="97" t="str">
        <f t="shared" si="45"/>
        <v/>
      </c>
      <c r="M55" s="178">
        <v>0</v>
      </c>
      <c r="N55" s="95" t="str">
        <f t="shared" si="42"/>
        <v/>
      </c>
      <c r="O55" s="95" t="str">
        <f t="shared" si="43"/>
        <v/>
      </c>
      <c r="P55" s="97" t="str">
        <f t="shared" si="44"/>
        <v/>
      </c>
      <c r="Q55" s="178">
        <v>0</v>
      </c>
      <c r="R55" s="112"/>
      <c r="S55" s="112"/>
    </row>
    <row r="56" spans="2:19" ht="17.75" hidden="1" customHeight="1" outlineLevel="1">
      <c r="B56" s="176" t="str">
        <v>Emerging Mkt Bonds</v>
      </c>
      <c r="C56" s="123">
        <f t="shared" ca="1" si="36"/>
        <v>4.8000000000000001E-2</v>
      </c>
      <c r="D56" s="177">
        <f>IFERROR(INDEX($B$32:$D$45,MATCH($B56,$B$32:$B$45,0),3),"")</f>
        <v>0</v>
      </c>
      <c r="E56" s="178">
        <f>IF(B56="","",(100/COUNTA(_xlfn.ANCHORARRAY(B51)))/100)</f>
        <v>9.0909090909090912E-2</v>
      </c>
      <c r="F56" s="95">
        <f t="shared" si="38"/>
        <v>0</v>
      </c>
      <c r="G56" s="95" t="str">
        <f t="shared" ref="G56:G65" si="46">IF($B56="","",IFERROR((IF(INDEX($B$72:$I$83,MATCH("*"&amp;$B56&amp;"*",$B$72:$B$83,0),4)="&gt;","3",(IF(INDEX($B$72:$I$83,MATCH("*"&amp;$B56&amp;"*",$B$72:$B$83,0),4)="&lt;","1",(IF(INDEX($B$72:$I$83,MATCH("*"&amp;$B56&amp;"*",$B$72:$B$83,0),4)="=","2","")))))),""))</f>
        <v>1</v>
      </c>
      <c r="H56" s="97">
        <f t="shared" si="34"/>
        <v>0.03</v>
      </c>
      <c r="I56" s="178">
        <v>0</v>
      </c>
      <c r="J56" s="95">
        <f t="shared" si="40"/>
        <v>0</v>
      </c>
      <c r="K56" s="95" t="str">
        <f t="shared" si="41"/>
        <v>1</v>
      </c>
      <c r="L56" s="97">
        <f t="shared" si="45"/>
        <v>0.03</v>
      </c>
      <c r="M56" s="178">
        <v>0</v>
      </c>
      <c r="N56" s="95">
        <f t="shared" si="42"/>
        <v>0</v>
      </c>
      <c r="O56" s="95" t="str">
        <f t="shared" si="43"/>
        <v>2</v>
      </c>
      <c r="P56" s="97">
        <f t="shared" si="44"/>
        <v>0</v>
      </c>
      <c r="Q56" s="178">
        <v>0</v>
      </c>
      <c r="R56" s="112"/>
      <c r="S56" s="112"/>
    </row>
    <row r="57" spans="2:19" ht="17.75" hidden="1" customHeight="1" outlineLevel="1">
      <c r="B57" s="176" t="str">
        <v>Private Equity</v>
      </c>
      <c r="C57" s="123">
        <f t="shared" ca="1" si="36"/>
        <v>0.114</v>
      </c>
      <c r="D57" s="177">
        <f t="shared" si="37"/>
        <v>0</v>
      </c>
      <c r="E57" s="178">
        <f>IF(B57="","",(100/COUNTA(_xlfn.ANCHORARRAY(B51)))/100)</f>
        <v>9.0909090909090912E-2</v>
      </c>
      <c r="F57" s="95" t="str">
        <f t="shared" si="38"/>
        <v/>
      </c>
      <c r="G57" s="95" t="str">
        <f t="shared" si="46"/>
        <v/>
      </c>
      <c r="H57" s="97" t="str">
        <f t="shared" si="34"/>
        <v/>
      </c>
      <c r="I57" s="178">
        <v>0.24</v>
      </c>
      <c r="J57" s="95" t="str">
        <f t="shared" si="40"/>
        <v/>
      </c>
      <c r="K57" s="95" t="str">
        <f t="shared" si="41"/>
        <v/>
      </c>
      <c r="L57" s="97" t="str">
        <f t="shared" si="45"/>
        <v/>
      </c>
      <c r="M57" s="178">
        <v>0.21347294543090758</v>
      </c>
      <c r="N57" s="95" t="str">
        <f t="shared" si="42"/>
        <v/>
      </c>
      <c r="O57" s="95" t="str">
        <f t="shared" si="43"/>
        <v/>
      </c>
      <c r="P57" s="97" t="str">
        <f t="shared" si="44"/>
        <v/>
      </c>
      <c r="Q57" s="178">
        <v>0.18</v>
      </c>
      <c r="R57" s="112"/>
      <c r="S57" s="112"/>
    </row>
    <row r="58" spans="2:19" ht="17.75" hidden="1" customHeight="1" outlineLevel="1">
      <c r="B58" s="176" t="str">
        <v>Private Credit</v>
      </c>
      <c r="C58" s="123">
        <f t="shared" ca="1" si="36"/>
        <v>6.5299999999999997E-2</v>
      </c>
      <c r="D58" s="177">
        <f t="shared" si="37"/>
        <v>0</v>
      </c>
      <c r="E58" s="178">
        <f>IF(B58="","",(100/COUNTA(_xlfn.ANCHORARRAY(B51)))/100)</f>
        <v>9.0909090909090912E-2</v>
      </c>
      <c r="F58" s="95">
        <f t="shared" si="38"/>
        <v>0</v>
      </c>
      <c r="G58" s="95" t="str">
        <f t="shared" si="46"/>
        <v>1</v>
      </c>
      <c r="H58" s="97">
        <f t="shared" si="34"/>
        <v>0.06</v>
      </c>
      <c r="I58" s="178">
        <v>0</v>
      </c>
      <c r="J58" s="95">
        <f t="shared" si="40"/>
        <v>0</v>
      </c>
      <c r="K58" s="95" t="str">
        <f t="shared" si="41"/>
        <v>1</v>
      </c>
      <c r="L58" s="97">
        <f t="shared" si="45"/>
        <v>0.06</v>
      </c>
      <c r="M58" s="178">
        <v>2.6527054569092417E-2</v>
      </c>
      <c r="N58" s="95">
        <f t="shared" si="42"/>
        <v>0</v>
      </c>
      <c r="O58" s="95" t="str">
        <f t="shared" si="43"/>
        <v>1</v>
      </c>
      <c r="P58" s="97">
        <f t="shared" si="44"/>
        <v>0.06</v>
      </c>
      <c r="Q58" s="178">
        <v>0.06</v>
      </c>
      <c r="R58" s="112"/>
      <c r="S58" s="112"/>
    </row>
    <row r="59" spans="2:19" ht="17.75" hidden="1" customHeight="1" outlineLevel="1">
      <c r="B59" s="176" t="str">
        <v>Private Real Estate</v>
      </c>
      <c r="C59" s="123">
        <f t="shared" ca="1" si="36"/>
        <v>7.8299999999999995E-2</v>
      </c>
      <c r="D59" s="177">
        <f t="shared" si="37"/>
        <v>0</v>
      </c>
      <c r="E59" s="178">
        <f>IF(B59="","",(100/COUNTA(_xlfn.ANCHORARRAY(B51)))/100)</f>
        <v>9.0909090909090912E-2</v>
      </c>
      <c r="F59" s="95">
        <f t="shared" si="38"/>
        <v>0</v>
      </c>
      <c r="G59" s="95" t="str">
        <f t="shared" si="46"/>
        <v>1</v>
      </c>
      <c r="H59" s="97">
        <f t="shared" si="34"/>
        <v>0.06</v>
      </c>
      <c r="I59" s="178">
        <v>5.9999999999999991E-2</v>
      </c>
      <c r="J59" s="95">
        <f t="shared" si="40"/>
        <v>0</v>
      </c>
      <c r="K59" s="95" t="str">
        <f t="shared" si="41"/>
        <v>1</v>
      </c>
      <c r="L59" s="97">
        <f t="shared" si="45"/>
        <v>0.06</v>
      </c>
      <c r="M59" s="178">
        <v>5.9999999999999991E-2</v>
      </c>
      <c r="N59" s="95">
        <f t="shared" si="42"/>
        <v>0</v>
      </c>
      <c r="O59" s="95" t="str">
        <f t="shared" si="43"/>
        <v>1</v>
      </c>
      <c r="P59" s="97">
        <f t="shared" si="44"/>
        <v>0.06</v>
      </c>
      <c r="Q59" s="178">
        <v>0.06</v>
      </c>
      <c r="R59" s="112"/>
      <c r="S59" s="112"/>
    </row>
    <row r="60" spans="2:19" ht="17.75" hidden="1" customHeight="1" outlineLevel="1">
      <c r="B60" s="176" t="str">
        <v>Infrastructure</v>
      </c>
      <c r="C60" s="123">
        <f t="shared" ca="1" si="36"/>
        <v>7.9699999999999993E-2</v>
      </c>
      <c r="D60" s="177">
        <f t="shared" si="37"/>
        <v>0</v>
      </c>
      <c r="E60" s="178">
        <f>IF(B60="","",(100/COUNTA(_xlfn.ANCHORARRAY(B51)))/100)</f>
        <v>9.0909090909090912E-2</v>
      </c>
      <c r="F60" s="95" t="str">
        <f t="shared" si="38"/>
        <v/>
      </c>
      <c r="G60" s="95" t="str">
        <f t="shared" si="46"/>
        <v/>
      </c>
      <c r="H60" s="97" t="str">
        <f t="shared" si="34"/>
        <v/>
      </c>
      <c r="I60" s="178">
        <v>0</v>
      </c>
      <c r="J60" s="95" t="str">
        <f t="shared" si="40"/>
        <v/>
      </c>
      <c r="K60" s="95" t="str">
        <f t="shared" si="41"/>
        <v/>
      </c>
      <c r="L60" s="97" t="str">
        <f t="shared" si="45"/>
        <v/>
      </c>
      <c r="M60" s="178">
        <v>0</v>
      </c>
      <c r="N60" s="95" t="str">
        <f t="shared" si="42"/>
        <v/>
      </c>
      <c r="O60" s="95" t="str">
        <f t="shared" si="43"/>
        <v/>
      </c>
      <c r="P60" s="97" t="str">
        <f t="shared" si="44"/>
        <v/>
      </c>
      <c r="Q60" s="178">
        <v>0</v>
      </c>
      <c r="R60" s="112"/>
      <c r="S60" s="112"/>
    </row>
    <row r="61" spans="2:19" ht="17.75" hidden="1" customHeight="1" outlineLevel="1">
      <c r="B61" s="179" t="str">
        <v>Multi-Strategy (HF)</v>
      </c>
      <c r="C61" s="180">
        <f t="shared" ca="1" si="36"/>
        <v>4.2500000000000003E-2</v>
      </c>
      <c r="D61" s="181">
        <f t="shared" si="37"/>
        <v>0</v>
      </c>
      <c r="E61" s="165">
        <f>IF(B61="","",(100/COUNTA(_xlfn.ANCHORARRAY(B51)))/100)</f>
        <v>9.0909090909090912E-2</v>
      </c>
      <c r="F61" s="182" t="str">
        <f t="shared" si="38"/>
        <v/>
      </c>
      <c r="G61" s="182" t="str">
        <f t="shared" si="46"/>
        <v/>
      </c>
      <c r="H61" s="183" t="str">
        <f t="shared" si="34"/>
        <v/>
      </c>
      <c r="I61" s="165"/>
      <c r="J61" s="182" t="str">
        <f t="shared" si="40"/>
        <v/>
      </c>
      <c r="K61" s="182" t="str">
        <f t="shared" si="41"/>
        <v/>
      </c>
      <c r="L61" s="183" t="str">
        <f t="shared" si="45"/>
        <v/>
      </c>
      <c r="M61" s="165"/>
      <c r="N61" s="182" t="str">
        <f t="shared" si="42"/>
        <v/>
      </c>
      <c r="O61" s="182" t="str">
        <f t="shared" si="43"/>
        <v/>
      </c>
      <c r="P61" s="183" t="str">
        <f t="shared" si="44"/>
        <v/>
      </c>
      <c r="Q61" s="165"/>
      <c r="R61" s="123"/>
      <c r="S61" s="123"/>
    </row>
    <row r="62" spans="2:19" ht="17.75" hidden="1" customHeight="1" outlineLevel="1">
      <c r="B62" s="110" t="s">
        <v>6</v>
      </c>
      <c r="C62" s="112"/>
      <c r="D62" s="113" cm="1">
        <f t="array" ref="D62">SUM(SUMIF(_xlfn.ANCHORARRAY($B51),$B$12:$B$14,D$51:D$61))</f>
        <v>0.6</v>
      </c>
      <c r="E62" s="113" cm="1">
        <f t="array" ref="E62">SUM(SUMIF(_xlfn.ANCHORARRAY($B51),$B$12:$B$14,E$51:E$61))</f>
        <v>0.27272727272727271</v>
      </c>
      <c r="F62" s="93">
        <f t="shared" si="38"/>
        <v>0</v>
      </c>
      <c r="G62" s="93" t="str">
        <f t="shared" si="46"/>
        <v>3</v>
      </c>
      <c r="H62" s="96">
        <f t="shared" si="34"/>
        <v>0.6</v>
      </c>
      <c r="I62" s="175" cm="1">
        <f t="array" ref="I62">SUM(SUMIF(_xlfn.ANCHORARRAY($B51),$B$12:$B$14,I$51:I$61))</f>
        <v>0.59999999999999987</v>
      </c>
      <c r="J62" s="95">
        <f t="shared" si="40"/>
        <v>0</v>
      </c>
      <c r="K62" s="95" t="str">
        <f t="shared" si="41"/>
        <v>3</v>
      </c>
      <c r="L62" s="97">
        <f t="shared" si="45"/>
        <v>0.5</v>
      </c>
      <c r="M62" s="113" cm="1">
        <f t="array" ref="M62">SUM(SUMIF(_xlfn.ANCHORARRAY($B51),$B$12:$B$14,M$51:M$61))</f>
        <v>0.5</v>
      </c>
      <c r="N62" s="93">
        <f t="shared" si="42"/>
        <v>0</v>
      </c>
      <c r="O62" s="93" t="str">
        <f t="shared" si="43"/>
        <v>3</v>
      </c>
      <c r="P62" s="96">
        <f t="shared" si="44"/>
        <v>0.3</v>
      </c>
      <c r="Q62" s="113" cm="1">
        <f t="array" ref="Q62">SUM(SUMIF(_xlfn.ANCHORARRAY($B51),$B$12:$B$14,Q$51:Q$61))</f>
        <v>0.3</v>
      </c>
      <c r="R62" s="112"/>
      <c r="S62" s="112"/>
    </row>
    <row r="63" spans="2:19" ht="17.75" hidden="1" customHeight="1" outlineLevel="1">
      <c r="B63" s="110" t="s">
        <v>7</v>
      </c>
      <c r="C63" s="14"/>
      <c r="D63" s="114" cm="1">
        <f t="array" ref="D63">SUM(SUMIF(_xlfn.ANCHORARRAY($B51),$B$16:$B$18,D$51:D$61))</f>
        <v>0.4</v>
      </c>
      <c r="E63" s="114" cm="1">
        <f t="array" ref="E63">SUM(SUMIF(_xlfn.ANCHORARRAY($B51),$B$16:$B$18,E$51:E$61))</f>
        <v>0.27272727272727271</v>
      </c>
      <c r="F63" s="94" t="str">
        <f t="shared" si="38"/>
        <v/>
      </c>
      <c r="G63" s="94" t="str">
        <f t="shared" si="46"/>
        <v/>
      </c>
      <c r="H63" s="97" t="str">
        <f t="shared" ref="H63:H68" si="47">IF($B63="","",IFERROR(INDEX($B$72:$I$83,MATCH("*"&amp;$B63&amp;"*",$B$72:$B$83,0),8),""))</f>
        <v/>
      </c>
      <c r="I63" s="114" cm="1">
        <f t="array" ref="I63">SUM(SUMIF(_xlfn.ANCHORARRAY($B51),$B$16:$B$18,I$51:I$61))</f>
        <v>9.9999999999999936E-2</v>
      </c>
      <c r="J63" s="94" t="str">
        <f t="shared" si="40"/>
        <v/>
      </c>
      <c r="K63" s="94" t="str">
        <f t="shared" si="41"/>
        <v/>
      </c>
      <c r="L63" s="96" t="str">
        <f t="shared" si="45"/>
        <v/>
      </c>
      <c r="M63" s="114" cm="1">
        <f t="array" ref="M63">SUM(SUMIF(_xlfn.ANCHORARRAY($B51),$B$16:$B$18,M$51:M$61))</f>
        <v>0.19999999999999971</v>
      </c>
      <c r="N63" s="94" t="str">
        <f t="shared" si="42"/>
        <v/>
      </c>
      <c r="O63" s="94" t="str">
        <f t="shared" si="43"/>
        <v/>
      </c>
      <c r="P63" s="96" t="str">
        <f t="shared" si="44"/>
        <v/>
      </c>
      <c r="Q63" s="114" cm="1">
        <f t="array" ref="Q63">SUM(SUMIF(_xlfn.ANCHORARRAY($B51),$B$16:$B$18,Q$51:Q$61))</f>
        <v>0.39999999999999969</v>
      </c>
      <c r="R63" s="127"/>
      <c r="S63" s="127"/>
    </row>
    <row r="64" spans="2:19" ht="17.75" hidden="1" customHeight="1" outlineLevel="1">
      <c r="B64" s="110" t="s">
        <v>8</v>
      </c>
      <c r="C64" s="14"/>
      <c r="D64" s="114" cm="1">
        <f t="array" ref="D64">SUM(SUMIF(_xlfn.ANCHORARRAY($B51),$B$20:$B$24,D$51:D$61))</f>
        <v>0</v>
      </c>
      <c r="E64" s="114" cm="1">
        <f t="array" ref="E64">SUM(SUMIF(_xlfn.ANCHORARRAY($B51),$B$20:$B$24,E$51:E$61))</f>
        <v>0.45454545454545459</v>
      </c>
      <c r="F64" s="94">
        <f t="shared" si="38"/>
        <v>0</v>
      </c>
      <c r="G64" s="94" t="str">
        <f t="shared" si="46"/>
        <v>1</v>
      </c>
      <c r="H64" s="97">
        <f t="shared" si="47"/>
        <v>0.3</v>
      </c>
      <c r="I64" s="114" cm="1">
        <f t="array" ref="I64">SUM(SUMIF(_xlfn.ANCHORARRAY($B51),$B$20:$B$24,I$51:I$61))</f>
        <v>0.3</v>
      </c>
      <c r="J64" s="94">
        <f t="shared" si="40"/>
        <v>0</v>
      </c>
      <c r="K64" s="94" t="str">
        <f t="shared" si="41"/>
        <v>1</v>
      </c>
      <c r="L64" s="96">
        <f t="shared" si="45"/>
        <v>0.3</v>
      </c>
      <c r="M64" s="114" cm="1">
        <f t="array" ref="M64">SUM(SUMIF(_xlfn.ANCHORARRAY($B51),$B$20:$B$24,M$51:M$61))</f>
        <v>0.3</v>
      </c>
      <c r="N64" s="94">
        <f t="shared" si="42"/>
        <v>0</v>
      </c>
      <c r="O64" s="94" t="str">
        <f t="shared" si="43"/>
        <v>1</v>
      </c>
      <c r="P64" s="96">
        <f t="shared" si="44"/>
        <v>0.3</v>
      </c>
      <c r="Q64" s="114" cm="1">
        <f t="array" ref="Q64">SUM(SUMIF(_xlfn.ANCHORARRAY($B51),$B$20:$B$24,Q$51:Q$61))</f>
        <v>0.3</v>
      </c>
      <c r="R64" s="127"/>
      <c r="S64" s="127"/>
    </row>
    <row r="65" spans="2:19" ht="17.75" hidden="1" customHeight="1" outlineLevel="1">
      <c r="B65" s="193" t="s">
        <v>9</v>
      </c>
      <c r="C65" s="194"/>
      <c r="D65" s="195">
        <f>SUM(D$41:D$45,D$37:D$39,D$33:D$35)</f>
        <v>1</v>
      </c>
      <c r="E65" s="195">
        <f>SUM(E51:E61)</f>
        <v>1.0000000000000002</v>
      </c>
      <c r="F65" s="196">
        <f t="shared" si="38"/>
        <v>0</v>
      </c>
      <c r="G65" s="196" t="str">
        <f t="shared" si="46"/>
        <v>2</v>
      </c>
      <c r="H65" s="183">
        <f t="shared" si="47"/>
        <v>1</v>
      </c>
      <c r="I65" s="195">
        <f>SUM(I51:I61)</f>
        <v>0.99999999999999978</v>
      </c>
      <c r="J65" s="182">
        <f t="shared" si="40"/>
        <v>0</v>
      </c>
      <c r="K65" s="182" t="str">
        <f t="shared" si="41"/>
        <v>2</v>
      </c>
      <c r="L65" s="183">
        <f t="shared" si="45"/>
        <v>1</v>
      </c>
      <c r="M65" s="195">
        <f>SUM(M51:M61)</f>
        <v>0.99999999999999967</v>
      </c>
      <c r="N65" s="182">
        <f t="shared" si="42"/>
        <v>0</v>
      </c>
      <c r="O65" s="182" t="str">
        <f t="shared" si="43"/>
        <v>2</v>
      </c>
      <c r="P65" s="183">
        <f t="shared" si="44"/>
        <v>1</v>
      </c>
      <c r="Q65" s="195">
        <f>SUM(Q51:Q61)</f>
        <v>0.99999999999999978</v>
      </c>
      <c r="R65" s="124"/>
      <c r="S65" s="124"/>
    </row>
    <row r="66" spans="2:19" ht="17.75" hidden="1" customHeight="1" outlineLevel="1">
      <c r="B66" s="111" t="s">
        <v>10</v>
      </c>
      <c r="C66" s="115"/>
      <c r="D66" s="116" cm="1">
        <f t="array" aca="1" ref="D66" ca="1">IFERROR((MMULT(TRANSPOSE(_xlfn._xlws.FILTER($C$51:$C$61,$C$51:$C$61&lt;&gt;"")),(_xlfn._xlws.FILTER(D$51:D$61,D$51:D$61&lt;&gt;"")))),"Error")</f>
        <v>5.4725999999999997E-2</v>
      </c>
      <c r="E66" s="117" cm="1">
        <f t="array" aca="1" ref="E66" ca="1">IFERROR((MMULT(TRANSPOSE(_xlfn._xlws.FILTER($C$51:$C$61,$C$51:$C$61&lt;&gt;"")),(_xlfn._xlws.FILTER(E$51:E$61,E$51:E$61&lt;&gt;"")))),"Error")</f>
        <v>6.8609090909090897E-2</v>
      </c>
      <c r="F66" s="95" t="str">
        <f t="shared" si="38"/>
        <v/>
      </c>
      <c r="G66" s="95" t="str">
        <f>IF($B66="","",IFERROR((IF(INDEX($B$72:$I$83,MATCH("*"&amp;$B66&amp;"*",$B$72:$B$83,0),4)="&gt;","3",(IF(INDEX($B$72:$I$83,MATCH("*"&amp;$B66&amp;"*",$B$72:$B$83,0),4)="&lt;","1",(IF(INDEX($B$72:$I$83,MATCH("*"&amp;$B66&amp;"*",$B$72:$B$83,0),4)="=","2","5")))))),""))</f>
        <v/>
      </c>
      <c r="H66" s="97" t="str">
        <f t="shared" si="47"/>
        <v/>
      </c>
      <c r="I66" s="117" t="str" cm="1">
        <f t="array" aca="1" ref="I66" ca="1">IFERROR((MMULT(TRANSPOSE(_xlfn._xlws.FILTER($C$51:$C$61,$C$51:$C$61&lt;&gt;"")),(_xlfn._xlws.FILTER(I$51:I$61,I$51:I$61&lt;&gt;"")))),"Error")</f>
        <v>Error</v>
      </c>
      <c r="J66" s="95" t="str">
        <f t="shared" ref="J66:J68" si="48">IF($B66="","",IF(COUNTIF($B$85:$D$96,"*"&amp;$B66&amp;"*"),0,""))</f>
        <v/>
      </c>
      <c r="K66" s="95" t="str">
        <f t="shared" ref="K66:K68" si="49">IF($B66="","",IFERROR((IF(INDEX($B$85:$I$96,MATCH("*"&amp;$B66&amp;"*",$B$85:$B$96,0),4)="&gt;","3",(IF(INDEX($B$85:$I$96,MATCH("*"&amp;$B66&amp;"*",$B$85:$B$96,0),4)="&lt;","1",(IF(INDEX($B$85:$I$96,MATCH("*"&amp;$B66&amp;"*",$B$85:$B$96,0),4)="=","2","5")))))),""))</f>
        <v/>
      </c>
      <c r="L66" s="97" t="str">
        <f t="shared" ref="L66:L68" si="50">IF($B66="","",IFERROR(INDEX($B$85:$I$96,MATCH("*"&amp;$B66&amp;"*",$B$85:$B$96,0),8),""))</f>
        <v/>
      </c>
      <c r="M66" s="117" t="str" cm="1">
        <f t="array" aca="1" ref="M66" ca="1">IFERROR((MMULT(TRANSPOSE(_xlfn._xlws.FILTER($C$51:$C$61,$C$51:$C$61&lt;&gt;"")),(_xlfn._xlws.FILTER(M$51:M$61,M$51:M$61&lt;&gt;"")))),"Error")</f>
        <v>Error</v>
      </c>
      <c r="N66" s="95" t="str">
        <f t="shared" ref="N66:N68" si="51">IF($B66="","",IF(COUNTIF($B$98:$D$109,"*"&amp;$B66&amp;"*"),0,""))</f>
        <v/>
      </c>
      <c r="O66" s="95" t="str">
        <f t="shared" ref="O66:O68" si="52">IF($B66="","",IFERROR((IF(INDEX($B$98:$I$109,MATCH("*"&amp;$B66&amp;"*",$B$98:$B$109,0),4)="&gt;","3",(IF(INDEX($B$98:$I$109,MATCH("*"&amp;$B66&amp;"*",$B$98:$B$109,0),4)="&lt;","1",(IF(INDEX($B$98:$I$109,MATCH("*"&amp;$B66&amp;"*",$B$98:$B$109,0),4)="=","2","5")))))),""))</f>
        <v/>
      </c>
      <c r="P66" s="97" t="str">
        <f t="shared" ref="P66:P68" si="53">IF($B66="","",IFERROR(INDEX($B$98:$I$109,MATCH("*"&amp;$B66&amp;"*",$B$98:$B$109,0),8),""))</f>
        <v/>
      </c>
      <c r="Q66" s="117" t="str" cm="1">
        <f t="array" aca="1" ref="Q66" ca="1">IFERROR((MMULT(TRANSPOSE(_xlfn._xlws.FILTER($C$51:$C$61,$C$51:$C$61&lt;&gt;"")),(_xlfn._xlws.FILTER(Q$51:Q$61,Q$51:Q$61&lt;&gt;"")))),"Error")</f>
        <v>Error</v>
      </c>
      <c r="R66" s="125"/>
      <c r="S66" s="125"/>
    </row>
    <row r="67" spans="2:19" ht="17.75" hidden="1" customHeight="1" outlineLevel="1">
      <c r="B67" s="111" t="s">
        <v>87</v>
      </c>
      <c r="C67" s="115"/>
      <c r="D67" s="116" cm="1">
        <f t="array" aca="1" ref="D67" ca="1">IFERROR((SQRT(MMULT(MMULT(TRANSPOSE(_xlfn._xlws.FILTER($D$51:$D$61,$D$51:$D$61&lt;&gt;"")),(_xlfn._xlws.FILTER(AN13:AX23,(AX13:AX23&lt;&gt;""),_xlfn._xlws.FILTER(AN13:AW23,(AW13:AW23&lt;&gt;""),_xlfn._xlws.FILTER(AN13:AV23,(AV13:AV23&lt;&gt;""),_xlfn._xlws.FILTER(AN13:AU23,(AU13:AU23&lt;&gt;""),AN13:AT23)))))), _xlfn._xlws.FILTER($D$51:$D$61,$D$51:$D$61&lt;&gt;"")))),"Error")</f>
        <v>0.10166824479649483</v>
      </c>
      <c r="E67" s="117" cm="1">
        <f t="array" aca="1" ref="E67" ca="1">IFERROR((SQRT(MMULT(MMULT(TRANSPOSE(_xlfn._xlws.FILTER($E$51:$E$61,$E$51:$E$61&lt;&gt;"")),(_xlfn._xlws.FILTER(AN13:AX23,(AX13:AX23&lt;&gt;""),_xlfn._xlws.FILTER(AN13:AW23,(AW13:AW23&lt;&gt;""),_xlfn._xlws.FILTER(AN13:AV23,(AV13:AV23&lt;&gt;""),_xlfn._xlws.FILTER(AN13:AU23,(AU13:AU23&lt;&gt;""),AN13:AT23)))))), _xlfn._xlws.FILTER($E$51:$E$61,$E$51:$E$61&lt;&gt;"")))),"Error")</f>
        <v>7.9457041774806253E-2</v>
      </c>
      <c r="F67" s="95" t="str">
        <f t="shared" si="38"/>
        <v/>
      </c>
      <c r="G67" s="95" t="str">
        <f>IF($B67="","",IFERROR((IF(INDEX($B$72:$I$83,MATCH("*"&amp;$B67&amp;"*",$B$72:$B$83,0),4)="&gt;","3",(IF(INDEX($B$72:$I$83,MATCH("*"&amp;$B67&amp;"*",$B$72:$B$83,0),4)="&lt;","1",(IF(INDEX($B$72:$I$83,MATCH("*"&amp;$B67&amp;"*",$B$72:$B$83,0),4)="=","2","5")))))),""))</f>
        <v/>
      </c>
      <c r="H67" s="97" t="str">
        <f t="shared" si="47"/>
        <v/>
      </c>
      <c r="I67" s="117" t="str" cm="1">
        <f t="array" aca="1" ref="I67" ca="1">IFERROR((SQRT(MMULT(MMULT(TRANSPOSE(_xlfn._xlws.FILTER($I$51:$I$61,$I$51:$I$61&lt;&gt;"")),(_xlfn._xlws.FILTER(AN13:AX23,(AX13:AX23&lt;&gt;""),_xlfn._xlws.FILTER(AN13:AW23,(AW13:AW23&lt;&gt;""),_xlfn._xlws.FILTER(AN13:AV23,(AV13:AV23&lt;&gt;""),_xlfn._xlws.FILTER(AN13:AU23,(AU13:AU23&lt;&gt;""),AN13:AT23)))))), _xlfn._xlws.FILTER($I$51:$I$61,$I$51:$I$61&lt;&gt;"")))),"Error")</f>
        <v>Error</v>
      </c>
      <c r="J67" s="95" t="str">
        <f t="shared" si="48"/>
        <v/>
      </c>
      <c r="K67" s="95" t="str">
        <f t="shared" si="49"/>
        <v/>
      </c>
      <c r="L67" s="97" t="str">
        <f t="shared" si="50"/>
        <v/>
      </c>
      <c r="M67" s="117" t="str" cm="1">
        <f t="array" aca="1" ref="M67" ca="1">IFERROR((SQRT(MMULT(MMULT(TRANSPOSE(_xlfn._xlws.FILTER($M$51:$M$61,$M$51:$M$61&lt;&gt;"")),(_xlfn._xlws.FILTER(AN13:AX23,(AX13:AX23&lt;&gt;""),_xlfn._xlws.FILTER(AN13:AW23,(AW13:AW23&lt;&gt;""),_xlfn._xlws.FILTER(AN13:AV23,(AV13:AV23&lt;&gt;""),_xlfn._xlws.FILTER(AN13:AU23,(AU13:AU23&lt;&gt;""),AN13:AT23)))))), _xlfn._xlws.FILTER($M$51:$M$61,$M$51:$M$61&lt;&gt;"")))),"Error")</f>
        <v>Error</v>
      </c>
      <c r="N67" s="95" t="str">
        <f t="shared" si="51"/>
        <v/>
      </c>
      <c r="O67" s="95" t="str">
        <f t="shared" si="52"/>
        <v/>
      </c>
      <c r="P67" s="97" t="str">
        <f t="shared" si="53"/>
        <v/>
      </c>
      <c r="Q67" s="117" t="str" cm="1">
        <f t="array" aca="1" ref="Q67" ca="1">IFERROR((SQRT(MMULT(MMULT(TRANSPOSE(_xlfn._xlws.FILTER($Q$51:$Q$61,$Q$51:$Q$61&lt;&gt;"")),(_xlfn._xlws.FILTER(AN13:AX23,(AX13:AX23&lt;&gt;""),_xlfn._xlws.FILTER(AN13:AW23,(AW13:AW23&lt;&gt;""),_xlfn._xlws.FILTER(AN13:AV23,(AV13:AV23&lt;&gt;""),_xlfn._xlws.FILTER(AN13:AU23,(AU13:AU23&lt;&gt;""),AN13:AT23)))))), _xlfn._xlws.FILTER($Q$51:$Q$61,$Q$51:$Q$61&lt;&gt;"")))),"Error")</f>
        <v>Error</v>
      </c>
      <c r="R67" s="125"/>
      <c r="S67" s="125"/>
    </row>
    <row r="68" spans="2:19" ht="17.75" hidden="1" customHeight="1" outlineLevel="1">
      <c r="B68" s="111" t="s">
        <v>88</v>
      </c>
      <c r="C68" s="115"/>
      <c r="D68" s="118">
        <f ca="1">IFERROR($D$66/$D$67,"Error")</f>
        <v>0.53828016908861553</v>
      </c>
      <c r="E68" s="119">
        <f ca="1">IFERROR($E$66/$E$67,"Error")</f>
        <v>0.86347401534957524</v>
      </c>
      <c r="F68" s="94" t="str">
        <f t="shared" si="38"/>
        <v/>
      </c>
      <c r="G68" s="94" t="str">
        <f>IF($B68="","",IFERROR((IF(INDEX($B$72:$I$83,MATCH("*"&amp;$B68&amp;"*",$B$72:$B$83,0),4)="&gt;","3",(IF(INDEX($B$72:$I$83,MATCH("*"&amp;$B68&amp;"*",$B$72:$B$83,0),4)="&lt;","1",(IF(INDEX($B$72:$I$83,MATCH("*"&amp;$B68&amp;"*",$B$72:$B$83,0),4)="=","2","5")))))),""))</f>
        <v/>
      </c>
      <c r="H68" s="97" t="str">
        <f t="shared" si="47"/>
        <v/>
      </c>
      <c r="I68" s="119" t="str">
        <f ca="1">IFERROR($I$66/$I$67,"Error")</f>
        <v>Error</v>
      </c>
      <c r="J68" s="94" t="str">
        <f t="shared" si="48"/>
        <v/>
      </c>
      <c r="K68" s="94" t="str">
        <f t="shared" si="49"/>
        <v/>
      </c>
      <c r="L68" s="97" t="str">
        <f t="shared" si="50"/>
        <v/>
      </c>
      <c r="M68" s="119" t="str">
        <f ca="1">IFERROR($M$66/$M$67,"Error")</f>
        <v>Error</v>
      </c>
      <c r="N68" s="94" t="str">
        <f t="shared" si="51"/>
        <v/>
      </c>
      <c r="O68" s="94" t="str">
        <f t="shared" si="52"/>
        <v/>
      </c>
      <c r="P68" s="97" t="str">
        <f t="shared" si="53"/>
        <v/>
      </c>
      <c r="Q68" s="119" t="str">
        <f ca="1">IFERROR($Q$66/$Q$67,"Error")</f>
        <v>Error</v>
      </c>
      <c r="R68" s="126"/>
      <c r="S68" s="126"/>
    </row>
    <row r="69" spans="2:19" ht="17.75" hidden="1" customHeight="1" outlineLevel="1"/>
    <row r="70" spans="2:19" ht="28.5" customHeight="1" collapsed="1">
      <c r="B70" s="600" t="s">
        <v>93</v>
      </c>
      <c r="C70" s="601"/>
      <c r="D70" s="601"/>
      <c r="E70" s="436" t="s">
        <v>39</v>
      </c>
      <c r="F70" s="436"/>
      <c r="G70" s="437"/>
      <c r="H70" s="437"/>
      <c r="I70" s="438" t="s">
        <v>40</v>
      </c>
      <c r="J70" s="562"/>
      <c r="K70" s="563"/>
      <c r="L70" s="563"/>
      <c r="M70" s="563"/>
      <c r="N70" s="563"/>
      <c r="O70" s="563"/>
      <c r="P70" s="563"/>
      <c r="Q70" s="563"/>
      <c r="R70" s="563"/>
      <c r="S70" s="564"/>
    </row>
    <row r="71" spans="2:19" ht="20" customHeight="1">
      <c r="B71" s="305" t="str">
        <f>$I$31&amp;" - Most Aggressive"</f>
        <v>Capital Appreciation - Most Aggressive</v>
      </c>
      <c r="C71" s="306"/>
      <c r="D71" s="306"/>
      <c r="E71" s="306"/>
      <c r="F71" s="306"/>
      <c r="G71" s="306"/>
      <c r="H71" s="306"/>
      <c r="I71" s="306"/>
      <c r="J71" s="428"/>
      <c r="K71" s="428"/>
      <c r="L71" s="428"/>
      <c r="M71" s="428"/>
      <c r="N71" s="428"/>
      <c r="O71" s="428"/>
      <c r="P71" s="428"/>
      <c r="Q71" s="428"/>
      <c r="R71" s="428"/>
      <c r="S71" s="429"/>
    </row>
    <row r="72" spans="2:19" ht="15" customHeight="1">
      <c r="B72" s="587" t="s">
        <v>9</v>
      </c>
      <c r="C72" s="588"/>
      <c r="D72" s="589"/>
      <c r="E72" s="86" t="s">
        <v>41</v>
      </c>
      <c r="F72" s="86"/>
      <c r="G72" s="98"/>
      <c r="H72" s="98"/>
      <c r="I72" s="130">
        <v>1</v>
      </c>
      <c r="J72" s="557"/>
      <c r="K72" s="558"/>
      <c r="L72" s="558"/>
      <c r="M72" s="558"/>
      <c r="N72" s="558"/>
      <c r="O72" s="558"/>
      <c r="P72" s="558"/>
      <c r="Q72" s="558"/>
      <c r="R72" s="558"/>
      <c r="S72" s="559"/>
    </row>
    <row r="73" spans="2:19" ht="15" customHeight="1">
      <c r="B73" s="581" t="s">
        <v>42</v>
      </c>
      <c r="C73" s="582"/>
      <c r="D73" s="583"/>
      <c r="E73" s="87" t="s">
        <v>43</v>
      </c>
      <c r="F73" s="87"/>
      <c r="G73" s="99"/>
      <c r="H73" s="99"/>
      <c r="I73" s="131">
        <v>0.06</v>
      </c>
      <c r="J73" s="554"/>
      <c r="K73" s="555"/>
      <c r="L73" s="555"/>
      <c r="M73" s="555"/>
      <c r="N73" s="555"/>
      <c r="O73" s="555"/>
      <c r="P73" s="555"/>
      <c r="Q73" s="555"/>
      <c r="R73" s="555"/>
      <c r="S73" s="556"/>
    </row>
    <row r="74" spans="2:19" ht="15" customHeight="1">
      <c r="B74" s="587" t="s">
        <v>44</v>
      </c>
      <c r="C74" s="588"/>
      <c r="D74" s="589"/>
      <c r="E74" s="86" t="s">
        <v>43</v>
      </c>
      <c r="F74" s="86"/>
      <c r="G74" s="98"/>
      <c r="H74" s="98"/>
      <c r="I74" s="132">
        <v>0.3</v>
      </c>
      <c r="J74" s="554"/>
      <c r="K74" s="555"/>
      <c r="L74" s="555"/>
      <c r="M74" s="555"/>
      <c r="N74" s="555"/>
      <c r="O74" s="555"/>
      <c r="P74" s="555"/>
      <c r="Q74" s="555"/>
      <c r="R74" s="555"/>
      <c r="S74" s="556"/>
    </row>
    <row r="75" spans="2:19" ht="15" customHeight="1">
      <c r="B75" s="581" t="s">
        <v>45</v>
      </c>
      <c r="C75" s="582"/>
      <c r="D75" s="583"/>
      <c r="E75" s="87" t="s">
        <v>43</v>
      </c>
      <c r="F75" s="87"/>
      <c r="G75" s="99"/>
      <c r="H75" s="99"/>
      <c r="I75" s="131">
        <v>0.06</v>
      </c>
      <c r="J75" s="554"/>
      <c r="K75" s="555"/>
      <c r="L75" s="555"/>
      <c r="M75" s="555"/>
      <c r="N75" s="555"/>
      <c r="O75" s="555"/>
      <c r="P75" s="555"/>
      <c r="Q75" s="555"/>
      <c r="R75" s="555"/>
      <c r="S75" s="556"/>
    </row>
    <row r="76" spans="2:19" ht="15" customHeight="1">
      <c r="B76" s="587" t="s">
        <v>46</v>
      </c>
      <c r="C76" s="588"/>
      <c r="D76" s="589"/>
      <c r="E76" s="86" t="s">
        <v>387</v>
      </c>
      <c r="F76" s="86"/>
      <c r="G76" s="98"/>
      <c r="H76" s="98"/>
      <c r="I76" s="132">
        <v>0.6</v>
      </c>
      <c r="J76" s="554"/>
      <c r="K76" s="555"/>
      <c r="L76" s="555"/>
      <c r="M76" s="555"/>
      <c r="N76" s="555"/>
      <c r="O76" s="555"/>
      <c r="P76" s="555"/>
      <c r="Q76" s="555"/>
      <c r="R76" s="555"/>
      <c r="S76" s="556"/>
    </row>
    <row r="77" spans="2:19" ht="15" customHeight="1">
      <c r="B77" s="581" t="s">
        <v>46</v>
      </c>
      <c r="C77" s="582"/>
      <c r="D77" s="583"/>
      <c r="E77" s="87" t="s">
        <v>43</v>
      </c>
      <c r="F77" s="87"/>
      <c r="G77" s="99"/>
      <c r="H77" s="99"/>
      <c r="I77" s="131">
        <v>0.7</v>
      </c>
      <c r="J77" s="554"/>
      <c r="K77" s="555"/>
      <c r="L77" s="555"/>
      <c r="M77" s="555"/>
      <c r="N77" s="555"/>
      <c r="O77" s="555"/>
      <c r="P77" s="555"/>
      <c r="Q77" s="555"/>
      <c r="R77" s="555"/>
      <c r="S77" s="556"/>
    </row>
    <row r="78" spans="2:19" ht="15" customHeight="1">
      <c r="B78" s="587" t="s">
        <v>48</v>
      </c>
      <c r="C78" s="588"/>
      <c r="D78" s="589"/>
      <c r="E78" s="86" t="s">
        <v>43</v>
      </c>
      <c r="F78" s="86"/>
      <c r="G78" s="98"/>
      <c r="H78" s="98"/>
      <c r="I78" s="132">
        <v>0.03</v>
      </c>
      <c r="J78" s="554"/>
      <c r="K78" s="555"/>
      <c r="L78" s="555"/>
      <c r="M78" s="555"/>
      <c r="N78" s="555"/>
      <c r="O78" s="555"/>
      <c r="P78" s="555"/>
      <c r="Q78" s="555"/>
      <c r="R78" s="555"/>
      <c r="S78" s="556"/>
    </row>
    <row r="79" spans="2:19" ht="15" customHeight="1">
      <c r="B79" s="581" t="s">
        <v>49</v>
      </c>
      <c r="C79" s="582"/>
      <c r="D79" s="583"/>
      <c r="E79" s="87" t="s">
        <v>43</v>
      </c>
      <c r="F79" s="87"/>
      <c r="G79" s="99"/>
      <c r="H79" s="99"/>
      <c r="I79" s="131">
        <v>0.18</v>
      </c>
      <c r="J79" s="554"/>
      <c r="K79" s="555"/>
      <c r="L79" s="555"/>
      <c r="M79" s="555"/>
      <c r="N79" s="555"/>
      <c r="O79" s="555"/>
      <c r="P79" s="555"/>
      <c r="Q79" s="555"/>
      <c r="R79" s="555"/>
      <c r="S79" s="556"/>
    </row>
    <row r="80" spans="2:19" ht="15" customHeight="1">
      <c r="B80" s="587" t="s">
        <v>50</v>
      </c>
      <c r="C80" s="588"/>
      <c r="D80" s="589"/>
      <c r="E80" s="86" t="s">
        <v>43</v>
      </c>
      <c r="F80" s="86"/>
      <c r="G80" s="98"/>
      <c r="H80" s="98"/>
      <c r="I80" s="132">
        <v>0.06</v>
      </c>
      <c r="J80" s="554"/>
      <c r="K80" s="555"/>
      <c r="L80" s="555"/>
      <c r="M80" s="555"/>
      <c r="N80" s="555"/>
      <c r="O80" s="555"/>
      <c r="P80" s="555"/>
      <c r="Q80" s="555"/>
      <c r="R80" s="555"/>
      <c r="S80" s="556"/>
    </row>
    <row r="81" spans="2:19" ht="15" customHeight="1">
      <c r="B81" s="581"/>
      <c r="C81" s="582"/>
      <c r="D81" s="583"/>
      <c r="E81" s="87"/>
      <c r="F81" s="87"/>
      <c r="G81" s="99"/>
      <c r="H81" s="99"/>
      <c r="I81" s="131"/>
      <c r="J81" s="554"/>
      <c r="K81" s="555"/>
      <c r="L81" s="555"/>
      <c r="M81" s="555"/>
      <c r="N81" s="555"/>
      <c r="O81" s="555"/>
      <c r="P81" s="555"/>
      <c r="Q81" s="555"/>
      <c r="R81" s="555"/>
      <c r="S81" s="556"/>
    </row>
    <row r="82" spans="2:19" ht="15" customHeight="1">
      <c r="B82" s="587"/>
      <c r="C82" s="588"/>
      <c r="D82" s="589"/>
      <c r="E82" s="86"/>
      <c r="F82" s="86"/>
      <c r="G82" s="98"/>
      <c r="H82" s="98"/>
      <c r="I82" s="132"/>
      <c r="J82" s="554"/>
      <c r="K82" s="555"/>
      <c r="L82" s="555"/>
      <c r="M82" s="555"/>
      <c r="N82" s="555"/>
      <c r="O82" s="555"/>
      <c r="P82" s="555"/>
      <c r="Q82" s="555"/>
      <c r="R82" s="555"/>
      <c r="S82" s="556"/>
    </row>
    <row r="83" spans="2:19" ht="15" customHeight="1">
      <c r="B83" s="581"/>
      <c r="C83" s="582"/>
      <c r="D83" s="583"/>
      <c r="E83" s="87"/>
      <c r="F83" s="87"/>
      <c r="G83" s="99"/>
      <c r="H83" s="99"/>
      <c r="I83" s="131"/>
      <c r="J83" s="554"/>
      <c r="K83" s="555"/>
      <c r="L83" s="555"/>
      <c r="M83" s="555"/>
      <c r="N83" s="555"/>
      <c r="O83" s="555"/>
      <c r="P83" s="555"/>
      <c r="Q83" s="555"/>
      <c r="R83" s="555"/>
      <c r="S83" s="556"/>
    </row>
    <row r="84" spans="2:19" ht="20" customHeight="1">
      <c r="B84" s="305" t="str">
        <f>$M$31&amp;" - Moderate"</f>
        <v>Capital Income - Moderate</v>
      </c>
      <c r="C84" s="306"/>
      <c r="D84" s="306"/>
      <c r="E84" s="306"/>
      <c r="F84" s="306"/>
      <c r="G84" s="306"/>
      <c r="H84" s="306"/>
      <c r="I84" s="306"/>
      <c r="J84" s="428"/>
      <c r="K84" s="428"/>
      <c r="L84" s="428"/>
      <c r="M84" s="428"/>
      <c r="N84" s="428"/>
      <c r="O84" s="428"/>
      <c r="P84" s="428"/>
      <c r="Q84" s="428"/>
      <c r="R84" s="428"/>
      <c r="S84" s="429"/>
    </row>
    <row r="85" spans="2:19" ht="15" customHeight="1">
      <c r="B85" s="587" t="s">
        <v>9</v>
      </c>
      <c r="C85" s="588"/>
      <c r="D85" s="589"/>
      <c r="E85" s="86" t="s">
        <v>41</v>
      </c>
      <c r="F85" s="86"/>
      <c r="G85" s="98"/>
      <c r="H85" s="98"/>
      <c r="I85" s="130">
        <v>1</v>
      </c>
      <c r="J85" s="557"/>
      <c r="K85" s="558"/>
      <c r="L85" s="558"/>
      <c r="M85" s="558"/>
      <c r="N85" s="558"/>
      <c r="O85" s="558"/>
      <c r="P85" s="558"/>
      <c r="Q85" s="558"/>
      <c r="R85" s="558"/>
      <c r="S85" s="559"/>
    </row>
    <row r="86" spans="2:19" ht="15" customHeight="1">
      <c r="B86" s="581" t="s">
        <v>42</v>
      </c>
      <c r="C86" s="582"/>
      <c r="D86" s="583"/>
      <c r="E86" s="87" t="s">
        <v>43</v>
      </c>
      <c r="F86" s="87"/>
      <c r="G86" s="99"/>
      <c r="H86" s="99"/>
      <c r="I86" s="131">
        <v>0.06</v>
      </c>
      <c r="J86" s="554"/>
      <c r="K86" s="555"/>
      <c r="L86" s="555"/>
      <c r="M86" s="555"/>
      <c r="N86" s="555"/>
      <c r="O86" s="555"/>
      <c r="P86" s="555"/>
      <c r="Q86" s="555"/>
      <c r="R86" s="555"/>
      <c r="S86" s="556"/>
    </row>
    <row r="87" spans="2:19" ht="15" customHeight="1">
      <c r="B87" s="587" t="s">
        <v>44</v>
      </c>
      <c r="C87" s="588"/>
      <c r="D87" s="589"/>
      <c r="E87" s="86" t="s">
        <v>43</v>
      </c>
      <c r="F87" s="86"/>
      <c r="G87" s="98"/>
      <c r="H87" s="98"/>
      <c r="I87" s="132">
        <v>0.3</v>
      </c>
      <c r="J87" s="554"/>
      <c r="K87" s="555"/>
      <c r="L87" s="555"/>
      <c r="M87" s="555"/>
      <c r="N87" s="555"/>
      <c r="O87" s="555"/>
      <c r="P87" s="555"/>
      <c r="Q87" s="555"/>
      <c r="R87" s="555"/>
      <c r="S87" s="556"/>
    </row>
    <row r="88" spans="2:19" ht="15" customHeight="1">
      <c r="B88" s="581" t="s">
        <v>45</v>
      </c>
      <c r="C88" s="582"/>
      <c r="D88" s="583"/>
      <c r="E88" s="87" t="s">
        <v>43</v>
      </c>
      <c r="F88" s="87"/>
      <c r="G88" s="99"/>
      <c r="H88" s="99"/>
      <c r="I88" s="131">
        <v>0.06</v>
      </c>
      <c r="J88" s="554"/>
      <c r="K88" s="555"/>
      <c r="L88" s="555"/>
      <c r="M88" s="555"/>
      <c r="N88" s="555"/>
      <c r="O88" s="555"/>
      <c r="P88" s="555"/>
      <c r="Q88" s="555"/>
      <c r="R88" s="555"/>
      <c r="S88" s="556"/>
    </row>
    <row r="89" spans="2:19" ht="15" customHeight="1">
      <c r="B89" s="587" t="s">
        <v>46</v>
      </c>
      <c r="C89" s="588"/>
      <c r="D89" s="589"/>
      <c r="E89" s="86" t="s">
        <v>387</v>
      </c>
      <c r="F89" s="86"/>
      <c r="G89" s="98"/>
      <c r="H89" s="98"/>
      <c r="I89" s="132">
        <v>0.5</v>
      </c>
      <c r="J89" s="554"/>
      <c r="K89" s="555"/>
      <c r="L89" s="555"/>
      <c r="M89" s="555"/>
      <c r="N89" s="555"/>
      <c r="O89" s="555"/>
      <c r="P89" s="555"/>
      <c r="Q89" s="555"/>
      <c r="R89" s="555"/>
      <c r="S89" s="556"/>
    </row>
    <row r="90" spans="2:19" ht="15" customHeight="1">
      <c r="B90" s="581" t="s">
        <v>46</v>
      </c>
      <c r="C90" s="582"/>
      <c r="D90" s="583"/>
      <c r="E90" s="87" t="s">
        <v>43</v>
      </c>
      <c r="F90" s="87"/>
      <c r="G90" s="99"/>
      <c r="H90" s="99"/>
      <c r="I90" s="131">
        <v>0.6</v>
      </c>
      <c r="J90" s="554"/>
      <c r="K90" s="555"/>
      <c r="L90" s="555"/>
      <c r="M90" s="555"/>
      <c r="N90" s="555"/>
      <c r="O90" s="555"/>
      <c r="P90" s="555"/>
      <c r="Q90" s="555"/>
      <c r="R90" s="555"/>
      <c r="S90" s="556"/>
    </row>
    <row r="91" spans="2:19" ht="15" customHeight="1">
      <c r="B91" s="587" t="s">
        <v>48</v>
      </c>
      <c r="C91" s="588"/>
      <c r="D91" s="589"/>
      <c r="E91" s="86" t="s">
        <v>43</v>
      </c>
      <c r="F91" s="86"/>
      <c r="G91" s="98"/>
      <c r="H91" s="98"/>
      <c r="I91" s="132">
        <v>0.03</v>
      </c>
      <c r="J91" s="554"/>
      <c r="K91" s="555"/>
      <c r="L91" s="555"/>
      <c r="M91" s="555"/>
      <c r="N91" s="555"/>
      <c r="O91" s="555"/>
      <c r="P91" s="555"/>
      <c r="Q91" s="555"/>
      <c r="R91" s="555"/>
      <c r="S91" s="556"/>
    </row>
    <row r="92" spans="2:19" ht="15" customHeight="1">
      <c r="B92" s="581" t="s">
        <v>49</v>
      </c>
      <c r="C92" s="582"/>
      <c r="D92" s="583"/>
      <c r="E92" s="87" t="s">
        <v>43</v>
      </c>
      <c r="F92" s="87"/>
      <c r="G92" s="99"/>
      <c r="H92" s="99"/>
      <c r="I92" s="131">
        <v>0.14000000000000001</v>
      </c>
      <c r="J92" s="554"/>
      <c r="K92" s="555"/>
      <c r="L92" s="555"/>
      <c r="M92" s="555"/>
      <c r="N92" s="555"/>
      <c r="O92" s="555"/>
      <c r="P92" s="555"/>
      <c r="Q92" s="555"/>
      <c r="R92" s="555"/>
      <c r="S92" s="556"/>
    </row>
    <row r="93" spans="2:19" ht="15" customHeight="1">
      <c r="B93" s="587" t="s">
        <v>50</v>
      </c>
      <c r="C93" s="588"/>
      <c r="D93" s="589"/>
      <c r="E93" s="86" t="s">
        <v>43</v>
      </c>
      <c r="F93" s="86"/>
      <c r="G93" s="98"/>
      <c r="H93" s="98"/>
      <c r="I93" s="132">
        <v>0.06</v>
      </c>
      <c r="J93" s="554"/>
      <c r="K93" s="555"/>
      <c r="L93" s="555"/>
      <c r="M93" s="555"/>
      <c r="N93" s="555"/>
      <c r="O93" s="555"/>
      <c r="P93" s="555"/>
      <c r="Q93" s="555"/>
      <c r="R93" s="555"/>
      <c r="S93" s="556"/>
    </row>
    <row r="94" spans="2:19" ht="15" customHeight="1">
      <c r="B94" s="581"/>
      <c r="C94" s="582"/>
      <c r="D94" s="583"/>
      <c r="E94" s="87"/>
      <c r="F94" s="87"/>
      <c r="G94" s="99"/>
      <c r="H94" s="99"/>
      <c r="I94" s="131"/>
      <c r="J94" s="554"/>
      <c r="K94" s="555"/>
      <c r="L94" s="555"/>
      <c r="M94" s="555"/>
      <c r="N94" s="555"/>
      <c r="O94" s="555"/>
      <c r="P94" s="555"/>
      <c r="Q94" s="555"/>
      <c r="R94" s="555"/>
      <c r="S94" s="556"/>
    </row>
    <row r="95" spans="2:19" ht="15" customHeight="1">
      <c r="B95" s="587"/>
      <c r="C95" s="588"/>
      <c r="D95" s="589"/>
      <c r="E95" s="86"/>
      <c r="F95" s="86"/>
      <c r="G95" s="98"/>
      <c r="H95" s="98"/>
      <c r="I95" s="132"/>
      <c r="J95" s="554"/>
      <c r="K95" s="555"/>
      <c r="L95" s="555"/>
      <c r="M95" s="555"/>
      <c r="N95" s="555"/>
      <c r="O95" s="555"/>
      <c r="P95" s="555"/>
      <c r="Q95" s="555"/>
      <c r="R95" s="555"/>
      <c r="S95" s="556"/>
    </row>
    <row r="96" spans="2:19" ht="15" customHeight="1">
      <c r="B96" s="581"/>
      <c r="C96" s="582"/>
      <c r="D96" s="583"/>
      <c r="E96" s="87"/>
      <c r="F96" s="87"/>
      <c r="G96" s="99"/>
      <c r="H96" s="99"/>
      <c r="I96" s="131"/>
      <c r="J96" s="554"/>
      <c r="K96" s="555"/>
      <c r="L96" s="555"/>
      <c r="M96" s="555"/>
      <c r="N96" s="555"/>
      <c r="O96" s="555"/>
      <c r="P96" s="555"/>
      <c r="Q96" s="555"/>
      <c r="R96" s="555"/>
      <c r="S96" s="556"/>
    </row>
    <row r="97" spans="2:50" ht="20" customHeight="1">
      <c r="B97" s="305" t="str">
        <f>$Q$31&amp;" - Less Aggressive"</f>
        <v>Capital Preservation - Less Aggressive</v>
      </c>
      <c r="C97" s="306"/>
      <c r="D97" s="306"/>
      <c r="E97" s="306"/>
      <c r="F97" s="306"/>
      <c r="G97" s="306"/>
      <c r="H97" s="306"/>
      <c r="I97" s="306"/>
      <c r="J97" s="428"/>
      <c r="K97" s="428"/>
      <c r="L97" s="428"/>
      <c r="M97" s="428"/>
      <c r="N97" s="428"/>
      <c r="O97" s="428"/>
      <c r="P97" s="428"/>
      <c r="Q97" s="428"/>
      <c r="R97" s="428"/>
      <c r="S97" s="429"/>
    </row>
    <row r="98" spans="2:50" ht="15" customHeight="1">
      <c r="B98" s="587" t="s">
        <v>9</v>
      </c>
      <c r="C98" s="588"/>
      <c r="D98" s="589"/>
      <c r="E98" s="86" t="s">
        <v>41</v>
      </c>
      <c r="F98" s="86"/>
      <c r="G98" s="98"/>
      <c r="H98" s="98"/>
      <c r="I98" s="130">
        <v>1</v>
      </c>
      <c r="J98" s="554"/>
      <c r="K98" s="555"/>
      <c r="L98" s="555"/>
      <c r="M98" s="555"/>
      <c r="N98" s="555"/>
      <c r="O98" s="555"/>
      <c r="P98" s="555"/>
      <c r="Q98" s="555"/>
      <c r="R98" s="555"/>
      <c r="S98" s="556"/>
      <c r="V98" s="145"/>
      <c r="W98" s="145"/>
      <c r="X98" s="145"/>
      <c r="Y98" s="145"/>
      <c r="Z98" s="145"/>
      <c r="AA98" s="145"/>
      <c r="AB98" s="145"/>
      <c r="AC98" s="145"/>
      <c r="AD98" s="145"/>
      <c r="AE98" s="79"/>
      <c r="AF98" s="145"/>
      <c r="AG98" s="145"/>
      <c r="AH98" s="145"/>
      <c r="AI98" s="145"/>
      <c r="AJ98" s="145"/>
      <c r="AK98" s="145"/>
      <c r="AL98" s="145"/>
      <c r="AM98" s="145"/>
      <c r="AN98" s="79"/>
      <c r="AO98" s="145"/>
      <c r="AP98" s="145"/>
      <c r="AQ98" s="145"/>
      <c r="AR98" s="145"/>
      <c r="AS98" s="145"/>
      <c r="AT98" s="145"/>
      <c r="AU98" s="145"/>
      <c r="AV98" s="145"/>
      <c r="AW98" s="145"/>
      <c r="AX98" s="145"/>
    </row>
    <row r="99" spans="2:50" ht="15" customHeight="1">
      <c r="B99" s="581" t="s">
        <v>42</v>
      </c>
      <c r="C99" s="582"/>
      <c r="D99" s="583"/>
      <c r="E99" s="87" t="s">
        <v>43</v>
      </c>
      <c r="F99" s="87"/>
      <c r="G99" s="99"/>
      <c r="H99" s="99"/>
      <c r="I99" s="131">
        <v>0</v>
      </c>
      <c r="J99" s="554"/>
      <c r="K99" s="555"/>
      <c r="L99" s="555"/>
      <c r="M99" s="555"/>
      <c r="N99" s="555"/>
      <c r="O99" s="555"/>
      <c r="P99" s="555"/>
      <c r="Q99" s="555"/>
      <c r="R99" s="555"/>
      <c r="S99" s="556"/>
      <c r="V99" s="84"/>
    </row>
    <row r="100" spans="2:50" ht="15" customHeight="1">
      <c r="B100" s="587" t="s">
        <v>44</v>
      </c>
      <c r="C100" s="588"/>
      <c r="D100" s="589"/>
      <c r="E100" s="86" t="s">
        <v>43</v>
      </c>
      <c r="F100" s="86"/>
      <c r="G100" s="98"/>
      <c r="H100" s="98"/>
      <c r="I100" s="132">
        <v>0.3</v>
      </c>
      <c r="J100" s="554"/>
      <c r="K100" s="555"/>
      <c r="L100" s="555"/>
      <c r="M100" s="555"/>
      <c r="N100" s="555"/>
      <c r="O100" s="555"/>
      <c r="P100" s="555"/>
      <c r="Q100" s="555"/>
      <c r="R100" s="555"/>
      <c r="S100" s="556"/>
    </row>
    <row r="101" spans="2:50" ht="15" customHeight="1">
      <c r="B101" s="581" t="s">
        <v>45</v>
      </c>
      <c r="C101" s="582"/>
      <c r="D101" s="583"/>
      <c r="E101" s="87" t="s">
        <v>43</v>
      </c>
      <c r="F101" s="87"/>
      <c r="G101" s="99"/>
      <c r="H101" s="99"/>
      <c r="I101" s="131">
        <v>0.06</v>
      </c>
      <c r="J101" s="554"/>
      <c r="K101" s="555"/>
      <c r="L101" s="555"/>
      <c r="M101" s="555"/>
      <c r="N101" s="555"/>
      <c r="O101" s="555"/>
      <c r="P101" s="555"/>
      <c r="Q101" s="555"/>
      <c r="R101" s="555"/>
      <c r="S101" s="556"/>
    </row>
    <row r="102" spans="2:50" ht="15" customHeight="1">
      <c r="B102" s="587" t="s">
        <v>46</v>
      </c>
      <c r="C102" s="588"/>
      <c r="D102" s="589"/>
      <c r="E102" s="86" t="s">
        <v>387</v>
      </c>
      <c r="F102" s="86"/>
      <c r="G102" s="98"/>
      <c r="H102" s="98"/>
      <c r="I102" s="132">
        <v>0.3</v>
      </c>
      <c r="J102" s="554"/>
      <c r="K102" s="555"/>
      <c r="L102" s="555"/>
      <c r="M102" s="555"/>
      <c r="N102" s="555"/>
      <c r="O102" s="555"/>
      <c r="P102" s="555"/>
      <c r="Q102" s="555"/>
      <c r="R102" s="555"/>
      <c r="S102" s="556"/>
      <c r="V102" s="83"/>
      <c r="W102" s="83"/>
      <c r="X102" s="83"/>
      <c r="Y102" s="83"/>
      <c r="Z102" s="83"/>
      <c r="AA102" s="83"/>
      <c r="AB102" s="83"/>
      <c r="AC102" s="83"/>
      <c r="AD102" s="83"/>
      <c r="AE102" s="83"/>
      <c r="AF102" s="83"/>
      <c r="AG102" s="83"/>
      <c r="AH102" s="83"/>
      <c r="AI102" s="83"/>
      <c r="AJ102" s="83"/>
      <c r="AK102" s="83"/>
      <c r="AL102" s="83"/>
      <c r="AM102" s="83"/>
      <c r="AN102" s="83"/>
      <c r="AO102" s="83"/>
      <c r="AP102" s="83"/>
    </row>
    <row r="103" spans="2:50" ht="15" customHeight="1">
      <c r="B103" s="581" t="s">
        <v>46</v>
      </c>
      <c r="C103" s="582"/>
      <c r="D103" s="583"/>
      <c r="E103" s="87" t="s">
        <v>43</v>
      </c>
      <c r="F103" s="87"/>
      <c r="G103" s="99"/>
      <c r="H103" s="99"/>
      <c r="I103" s="131">
        <v>0.4</v>
      </c>
      <c r="J103" s="554"/>
      <c r="K103" s="555"/>
      <c r="L103" s="555"/>
      <c r="M103" s="555"/>
      <c r="N103" s="555"/>
      <c r="O103" s="555"/>
      <c r="P103" s="555"/>
      <c r="Q103" s="555"/>
      <c r="R103" s="555"/>
      <c r="S103" s="556"/>
      <c r="V103" s="83"/>
      <c r="W103" s="83"/>
      <c r="X103" s="83"/>
      <c r="Y103" s="83"/>
      <c r="Z103" s="83"/>
      <c r="AA103" s="83"/>
      <c r="AB103" s="83"/>
      <c r="AC103" s="83"/>
      <c r="AD103" s="83"/>
      <c r="AE103" s="83"/>
      <c r="AF103" s="83"/>
      <c r="AG103" s="83"/>
      <c r="AH103" s="83"/>
      <c r="AI103" s="83"/>
      <c r="AJ103" s="83"/>
      <c r="AK103" s="83"/>
      <c r="AL103" s="83"/>
      <c r="AM103" s="83"/>
      <c r="AN103" s="83"/>
      <c r="AO103" s="83"/>
      <c r="AP103" s="83"/>
    </row>
    <row r="104" spans="2:50" ht="15" customHeight="1">
      <c r="B104" s="587" t="s">
        <v>48</v>
      </c>
      <c r="C104" s="588"/>
      <c r="D104" s="589"/>
      <c r="E104" s="86" t="s">
        <v>41</v>
      </c>
      <c r="F104" s="86"/>
      <c r="G104" s="98"/>
      <c r="H104" s="98"/>
      <c r="I104" s="132">
        <v>0</v>
      </c>
      <c r="J104" s="554"/>
      <c r="K104" s="555"/>
      <c r="L104" s="555"/>
      <c r="M104" s="555"/>
      <c r="N104" s="555"/>
      <c r="O104" s="555"/>
      <c r="P104" s="555"/>
      <c r="Q104" s="555"/>
      <c r="R104" s="555"/>
      <c r="S104" s="556"/>
      <c r="V104" s="83"/>
      <c r="W104" s="83"/>
      <c r="X104" s="83"/>
      <c r="Y104" s="83"/>
      <c r="Z104" s="83"/>
      <c r="AA104" s="83"/>
      <c r="AB104" s="83"/>
      <c r="AC104" s="83"/>
      <c r="AD104" s="83"/>
      <c r="AE104" s="83"/>
      <c r="AF104" s="83"/>
      <c r="AG104" s="83"/>
      <c r="AH104" s="83"/>
      <c r="AI104" s="83"/>
      <c r="AJ104" s="83"/>
      <c r="AK104" s="83"/>
      <c r="AL104" s="83"/>
      <c r="AM104" s="83"/>
      <c r="AN104" s="83"/>
      <c r="AO104" s="83"/>
      <c r="AP104" s="83"/>
    </row>
    <row r="105" spans="2:50" ht="15" customHeight="1">
      <c r="B105" s="581" t="s">
        <v>49</v>
      </c>
      <c r="C105" s="582"/>
      <c r="D105" s="583"/>
      <c r="E105" s="87" t="s">
        <v>43</v>
      </c>
      <c r="F105" s="87"/>
      <c r="G105" s="99"/>
      <c r="H105" s="99"/>
      <c r="I105" s="131">
        <v>0.12</v>
      </c>
      <c r="J105" s="554"/>
      <c r="K105" s="555"/>
      <c r="L105" s="555"/>
      <c r="M105" s="555"/>
      <c r="N105" s="555"/>
      <c r="O105" s="555"/>
      <c r="P105" s="555"/>
      <c r="Q105" s="555"/>
      <c r="R105" s="555"/>
      <c r="S105" s="556"/>
      <c r="V105" s="83"/>
      <c r="Y105" s="83"/>
    </row>
    <row r="106" spans="2:50" ht="15" customHeight="1">
      <c r="B106" s="587" t="s">
        <v>50</v>
      </c>
      <c r="C106" s="588"/>
      <c r="D106" s="589"/>
      <c r="E106" s="86" t="s">
        <v>43</v>
      </c>
      <c r="F106" s="86"/>
      <c r="G106" s="98"/>
      <c r="H106" s="98"/>
      <c r="I106" s="132">
        <v>0.06</v>
      </c>
      <c r="J106" s="554"/>
      <c r="K106" s="555"/>
      <c r="L106" s="555"/>
      <c r="M106" s="555"/>
      <c r="N106" s="555"/>
      <c r="O106" s="555"/>
      <c r="P106" s="555"/>
      <c r="Q106" s="555"/>
      <c r="R106" s="555"/>
      <c r="S106" s="556"/>
      <c r="V106" s="83"/>
      <c r="W106" s="83"/>
      <c r="X106" s="83"/>
      <c r="Y106" s="83"/>
      <c r="Z106" s="83"/>
      <c r="AA106" s="83"/>
      <c r="AB106" s="83"/>
      <c r="AC106" s="83"/>
      <c r="AD106" s="83"/>
      <c r="AE106" s="83"/>
      <c r="AF106" s="83"/>
      <c r="AG106" s="83"/>
      <c r="AH106" s="83"/>
      <c r="AI106" s="83"/>
      <c r="AJ106" s="83"/>
      <c r="AK106" s="83"/>
      <c r="AL106" s="83"/>
      <c r="AM106" s="83"/>
      <c r="AN106" s="83"/>
      <c r="AO106" s="83"/>
      <c r="AP106" s="83"/>
    </row>
    <row r="107" spans="2:50" ht="15" customHeight="1">
      <c r="B107" s="581"/>
      <c r="C107" s="582"/>
      <c r="D107" s="583"/>
      <c r="E107" s="87"/>
      <c r="F107" s="87"/>
      <c r="G107" s="99"/>
      <c r="H107" s="99"/>
      <c r="I107" s="131"/>
      <c r="J107" s="554"/>
      <c r="K107" s="555"/>
      <c r="L107" s="555"/>
      <c r="M107" s="555"/>
      <c r="N107" s="555"/>
      <c r="O107" s="555"/>
      <c r="P107" s="555"/>
      <c r="Q107" s="555"/>
      <c r="R107" s="555"/>
      <c r="S107" s="556"/>
      <c r="V107" s="83"/>
      <c r="W107" s="83"/>
      <c r="X107" s="83"/>
      <c r="Y107" s="83"/>
      <c r="Z107" s="83"/>
      <c r="AA107" s="83"/>
      <c r="AB107" s="83"/>
      <c r="AC107" s="83"/>
      <c r="AD107" s="83"/>
      <c r="AE107" s="83"/>
      <c r="AF107" s="83"/>
      <c r="AG107" s="83"/>
      <c r="AH107" s="83"/>
      <c r="AI107" s="83"/>
      <c r="AJ107" s="83"/>
      <c r="AK107" s="83"/>
      <c r="AL107" s="83"/>
      <c r="AM107" s="83"/>
      <c r="AN107" s="83"/>
      <c r="AO107" s="83"/>
      <c r="AP107" s="83"/>
    </row>
    <row r="108" spans="2:50" ht="15" customHeight="1">
      <c r="B108" s="587"/>
      <c r="C108" s="588"/>
      <c r="D108" s="589"/>
      <c r="E108" s="86"/>
      <c r="F108" s="86"/>
      <c r="G108" s="98"/>
      <c r="H108" s="98"/>
      <c r="I108" s="132"/>
      <c r="J108" s="554"/>
      <c r="K108" s="555"/>
      <c r="L108" s="555"/>
      <c r="M108" s="555"/>
      <c r="N108" s="555"/>
      <c r="O108" s="555"/>
      <c r="P108" s="555"/>
      <c r="Q108" s="555"/>
      <c r="R108" s="555"/>
      <c r="S108" s="556"/>
      <c r="V108" s="83"/>
      <c r="W108" s="83"/>
      <c r="X108" s="83"/>
      <c r="Y108" s="83"/>
      <c r="Z108" s="83"/>
      <c r="AA108" s="83"/>
      <c r="AB108" s="83"/>
      <c r="AC108" s="83"/>
      <c r="AD108" s="83"/>
      <c r="AE108" s="83"/>
      <c r="AF108" s="83"/>
      <c r="AG108" s="83"/>
      <c r="AH108" s="83"/>
      <c r="AI108" s="83"/>
      <c r="AJ108" s="83"/>
      <c r="AK108" s="83"/>
      <c r="AL108" s="83"/>
      <c r="AM108" s="83"/>
      <c r="AN108" s="83"/>
      <c r="AO108" s="83"/>
      <c r="AP108" s="83"/>
    </row>
    <row r="109" spans="2:50" ht="15" customHeight="1">
      <c r="B109" s="606"/>
      <c r="C109" s="607"/>
      <c r="D109" s="608"/>
      <c r="E109" s="128"/>
      <c r="F109" s="128"/>
      <c r="G109" s="129"/>
      <c r="H109" s="129"/>
      <c r="I109" s="133"/>
      <c r="J109" s="565"/>
      <c r="K109" s="566"/>
      <c r="L109" s="566"/>
      <c r="M109" s="566"/>
      <c r="N109" s="566"/>
      <c r="O109" s="566"/>
      <c r="P109" s="566"/>
      <c r="Q109" s="566"/>
      <c r="R109" s="566"/>
      <c r="S109" s="567"/>
      <c r="V109" s="83"/>
      <c r="W109" s="83"/>
      <c r="X109" s="83"/>
      <c r="Y109" s="83"/>
      <c r="Z109" s="83"/>
      <c r="AA109" s="83"/>
      <c r="AB109" s="83"/>
      <c r="AC109" s="83"/>
      <c r="AD109" s="83"/>
      <c r="AE109" s="83"/>
      <c r="AF109" s="83"/>
      <c r="AG109" s="83"/>
      <c r="AH109" s="83"/>
      <c r="AI109" s="83"/>
      <c r="AJ109" s="83"/>
      <c r="AK109" s="83"/>
      <c r="AL109" s="83"/>
      <c r="AM109" s="83"/>
      <c r="AN109" s="83"/>
      <c r="AO109" s="83"/>
      <c r="AP109" s="83"/>
    </row>
    <row r="110" spans="2:50" ht="11.25" customHeight="1"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V110" s="83"/>
      <c r="W110" s="83"/>
      <c r="X110" s="83"/>
      <c r="Y110" s="83"/>
      <c r="Z110" s="83"/>
      <c r="AA110" s="83"/>
      <c r="AB110" s="83"/>
      <c r="AC110" s="83"/>
      <c r="AD110" s="83"/>
      <c r="AE110" s="83"/>
      <c r="AF110" s="83"/>
      <c r="AG110" s="83"/>
      <c r="AH110" s="83"/>
      <c r="AI110" s="83"/>
      <c r="AJ110" s="83"/>
      <c r="AK110" s="83"/>
      <c r="AL110" s="83"/>
      <c r="AM110" s="83"/>
      <c r="AN110" s="83"/>
      <c r="AO110" s="83"/>
      <c r="AP110" s="83"/>
    </row>
    <row r="111" spans="2:50" ht="17.25" hidden="1" customHeight="1">
      <c r="V111" s="83"/>
      <c r="W111" s="83"/>
      <c r="X111" s="83"/>
      <c r="Y111" s="83"/>
      <c r="Z111" s="83"/>
      <c r="AA111" s="83"/>
      <c r="AB111" s="83"/>
      <c r="AC111" s="83"/>
      <c r="AD111" s="83"/>
      <c r="AE111" s="83"/>
      <c r="AF111" s="83"/>
      <c r="AG111" s="83"/>
      <c r="AH111" s="83"/>
      <c r="AI111" s="83"/>
      <c r="AJ111" s="83"/>
      <c r="AK111" s="83"/>
      <c r="AL111" s="83"/>
      <c r="AM111" s="83"/>
      <c r="AN111" s="83"/>
      <c r="AO111" s="83"/>
      <c r="AP111" s="83"/>
    </row>
    <row r="112" spans="2:50" ht="17.25" hidden="1" customHeight="1">
      <c r="V112" s="83"/>
      <c r="W112" s="83"/>
      <c r="X112" s="83"/>
      <c r="Y112" s="83"/>
      <c r="Z112" s="83"/>
      <c r="AA112" s="83"/>
      <c r="AB112" s="83"/>
      <c r="AC112" s="83"/>
      <c r="AD112" s="83"/>
      <c r="AE112" s="83"/>
      <c r="AF112" s="83"/>
      <c r="AG112" s="83"/>
      <c r="AH112" s="83"/>
      <c r="AI112" s="83"/>
      <c r="AJ112" s="83"/>
      <c r="AK112" s="83"/>
      <c r="AL112" s="83"/>
      <c r="AM112" s="83"/>
      <c r="AN112" s="83"/>
      <c r="AO112" s="83"/>
      <c r="AP112" s="83"/>
    </row>
    <row r="113" spans="2:50" ht="17.75" hidden="1" customHeight="1">
      <c r="V113" s="83"/>
      <c r="W113" s="83"/>
      <c r="X113" s="83"/>
      <c r="Y113" s="83"/>
      <c r="Z113" s="83"/>
      <c r="AA113" s="83"/>
      <c r="AB113" s="83"/>
      <c r="AC113" s="83"/>
      <c r="AD113" s="83"/>
      <c r="AE113" s="83"/>
      <c r="AF113" s="83"/>
      <c r="AG113" s="83"/>
      <c r="AH113" s="83"/>
      <c r="AI113" s="83"/>
      <c r="AJ113" s="83"/>
      <c r="AK113" s="83"/>
      <c r="AL113" s="83"/>
      <c r="AM113" s="83"/>
      <c r="AN113" s="83"/>
      <c r="AO113" s="83"/>
      <c r="AP113" s="83"/>
    </row>
    <row r="114" spans="2:50" ht="14.25" hidden="1" customHeight="1" thickBot="1"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  <c r="L114" s="152"/>
      <c r="M114" s="152"/>
      <c r="N114" s="152"/>
      <c r="O114" s="152"/>
      <c r="P114" s="152"/>
      <c r="Q114" s="152"/>
      <c r="R114" s="152"/>
      <c r="S114" s="152"/>
      <c r="T114" s="152"/>
      <c r="U114" s="152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2"/>
      <c r="AR114" s="152"/>
      <c r="AS114" s="152"/>
      <c r="AT114" s="152"/>
      <c r="AU114" s="152"/>
      <c r="AV114" s="152"/>
      <c r="AW114" s="152"/>
      <c r="AX114" s="152"/>
    </row>
    <row r="115" spans="2:50" ht="21" hidden="1" customHeight="1">
      <c r="V115" s="83"/>
      <c r="W115" s="83"/>
      <c r="X115" s="83"/>
      <c r="Y115" s="83"/>
      <c r="Z115" s="83"/>
      <c r="AA115" s="83"/>
      <c r="AB115" s="83"/>
      <c r="AC115" s="83"/>
      <c r="AD115" s="83"/>
      <c r="AE115" s="83"/>
      <c r="AF115" s="83"/>
      <c r="AG115" s="83"/>
      <c r="AH115" s="83"/>
      <c r="AI115" s="83"/>
      <c r="AJ115" s="83"/>
      <c r="AK115" s="83"/>
      <c r="AL115" s="83"/>
      <c r="AM115" s="83"/>
      <c r="AN115" s="83"/>
      <c r="AO115" s="83"/>
      <c r="AP115" s="83"/>
    </row>
    <row r="116" spans="2:50" ht="22.5" hidden="1" customHeight="1">
      <c r="V116" s="83"/>
      <c r="W116" s="83"/>
      <c r="X116" s="83"/>
      <c r="Y116" s="83"/>
      <c r="Z116" s="83"/>
      <c r="AA116" s="83"/>
      <c r="AB116" s="83"/>
      <c r="AC116" s="83"/>
      <c r="AD116" s="83"/>
      <c r="AE116" s="83"/>
      <c r="AF116" s="83"/>
      <c r="AG116" s="83"/>
      <c r="AH116" s="83"/>
      <c r="AI116" s="83"/>
      <c r="AJ116" s="83"/>
      <c r="AK116" s="83"/>
      <c r="AL116" s="83"/>
      <c r="AM116" s="83"/>
      <c r="AN116" s="83"/>
      <c r="AO116" s="83"/>
      <c r="AP116" s="83"/>
    </row>
    <row r="117" spans="2:50" ht="30" hidden="1" customHeight="1">
      <c r="V117" s="83"/>
      <c r="W117" s="83"/>
      <c r="X117" s="102"/>
      <c r="Y117" s="102"/>
      <c r="Z117" s="102"/>
      <c r="AA117" s="102"/>
      <c r="AB117" s="102"/>
      <c r="AC117" s="102"/>
      <c r="AD117" s="102"/>
      <c r="AE117" s="102"/>
      <c r="AF117" s="102"/>
      <c r="AG117" s="102"/>
      <c r="AH117" s="83"/>
      <c r="AI117" s="83"/>
      <c r="AJ117" s="83"/>
      <c r="AK117" s="83"/>
      <c r="AL117" s="83"/>
      <c r="AM117" s="83"/>
      <c r="AN117" s="83"/>
      <c r="AO117" s="83"/>
      <c r="AP117" s="83"/>
    </row>
    <row r="118" spans="2:50" ht="56.25" hidden="1" customHeight="1">
      <c r="V118" s="83"/>
      <c r="W118" s="103"/>
      <c r="X118" s="83"/>
      <c r="Y118" s="83"/>
      <c r="Z118" s="83"/>
      <c r="AA118" s="104"/>
      <c r="AB118" s="83"/>
      <c r="AC118" s="83"/>
      <c r="AD118" s="83"/>
      <c r="AE118" s="83"/>
      <c r="AF118" s="83"/>
      <c r="AG118" s="83"/>
      <c r="AH118" s="83"/>
      <c r="AI118" s="83"/>
      <c r="AJ118" s="83"/>
      <c r="AK118" s="83"/>
      <c r="AL118" s="83"/>
      <c r="AM118" s="83"/>
      <c r="AN118" s="83"/>
      <c r="AO118" s="83"/>
      <c r="AP118" s="83"/>
    </row>
    <row r="119" spans="2:50" ht="28.5" hidden="1" customHeight="1">
      <c r="B119" s="92" t="s">
        <v>94</v>
      </c>
      <c r="I119" s="89"/>
      <c r="J119" s="89"/>
      <c r="K119" s="89"/>
      <c r="L119" s="89"/>
      <c r="M119" s="90"/>
      <c r="N119" s="90"/>
      <c r="O119" s="90"/>
      <c r="P119" s="90"/>
      <c r="Q119" s="90"/>
      <c r="R119" s="90"/>
      <c r="S119" s="90"/>
      <c r="T119" s="91"/>
      <c r="V119" s="142"/>
      <c r="W119" s="142"/>
      <c r="X119" s="143"/>
      <c r="Y119" s="142"/>
      <c r="Z119" s="142"/>
      <c r="AA119" s="143"/>
      <c r="AB119" s="147"/>
      <c r="AC119" s="83"/>
      <c r="AD119" s="83"/>
      <c r="AE119" s="83"/>
      <c r="AF119" s="83"/>
      <c r="AG119" s="83"/>
      <c r="AH119" s="83"/>
      <c r="AI119" s="83"/>
      <c r="AJ119" s="83"/>
      <c r="AK119" s="83"/>
      <c r="AL119" s="83"/>
      <c r="AM119" s="83"/>
      <c r="AN119" s="83"/>
      <c r="AO119" s="83"/>
      <c r="AP119" s="83"/>
    </row>
    <row r="120" spans="2:50" hidden="1">
      <c r="B120" t="s">
        <v>46</v>
      </c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88"/>
      <c r="V120" s="140"/>
      <c r="W120" s="83"/>
      <c r="X120" s="148"/>
      <c r="Y120" s="149"/>
      <c r="Z120" s="149"/>
      <c r="AA120" s="148"/>
      <c r="AB120" s="150"/>
      <c r="AC120" s="83"/>
      <c r="AD120" s="83"/>
      <c r="AE120" s="83"/>
      <c r="AF120" s="83"/>
      <c r="AG120" s="83"/>
      <c r="AH120" s="83"/>
      <c r="AI120" s="83"/>
      <c r="AJ120" s="83"/>
      <c r="AK120" s="83"/>
      <c r="AL120" s="83"/>
      <c r="AM120" s="83"/>
      <c r="AN120" s="83"/>
      <c r="AO120" s="83"/>
      <c r="AP120" s="83"/>
    </row>
    <row r="121" spans="2:50" hidden="1">
      <c r="B121" t="s">
        <v>47</v>
      </c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88"/>
      <c r="V121" s="139"/>
      <c r="W121" s="83"/>
      <c r="X121" s="148"/>
      <c r="Y121" s="149"/>
      <c r="Z121" s="149"/>
      <c r="AA121" s="148"/>
      <c r="AB121" s="150"/>
      <c r="AC121" s="83"/>
      <c r="AD121" s="83"/>
      <c r="AE121" s="83"/>
      <c r="AF121" s="83"/>
      <c r="AG121" s="83"/>
      <c r="AH121" s="83"/>
      <c r="AI121" s="83"/>
      <c r="AJ121" s="83"/>
      <c r="AK121" s="83"/>
      <c r="AL121" s="83"/>
      <c r="AM121" s="83"/>
      <c r="AN121" s="83"/>
      <c r="AO121" s="83"/>
      <c r="AP121" s="83"/>
    </row>
    <row r="122" spans="2:50" hidden="1">
      <c r="B122" t="s">
        <v>44</v>
      </c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88"/>
      <c r="V122" s="139"/>
      <c r="W122" s="83"/>
      <c r="X122" s="148"/>
      <c r="Y122" s="149"/>
      <c r="Z122" s="149"/>
      <c r="AA122" s="148"/>
      <c r="AB122" s="150"/>
      <c r="AC122" s="83"/>
      <c r="AD122" s="83"/>
      <c r="AE122" s="83"/>
      <c r="AF122" s="83"/>
      <c r="AG122" s="83"/>
      <c r="AH122" s="83"/>
      <c r="AI122" s="83"/>
      <c r="AJ122" s="83"/>
      <c r="AK122" s="83"/>
      <c r="AL122" s="83"/>
      <c r="AM122" s="83"/>
      <c r="AN122" s="83"/>
      <c r="AO122" s="83"/>
      <c r="AP122" s="83"/>
    </row>
    <row r="123" spans="2:50" hidden="1">
      <c r="B123" t="s">
        <v>9</v>
      </c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88"/>
      <c r="V123" s="141"/>
      <c r="W123" s="83"/>
      <c r="X123" s="148"/>
      <c r="Y123" s="149"/>
      <c r="Z123" s="149"/>
      <c r="AA123" s="148"/>
      <c r="AB123" s="150"/>
      <c r="AC123" s="83"/>
      <c r="AD123" s="83"/>
      <c r="AE123" s="83"/>
      <c r="AF123" s="83"/>
      <c r="AG123" s="83"/>
      <c r="AH123" s="83"/>
      <c r="AI123" s="83"/>
      <c r="AJ123" s="83"/>
      <c r="AK123" s="83"/>
      <c r="AL123" s="83"/>
      <c r="AM123" s="83"/>
      <c r="AN123" s="83"/>
      <c r="AO123" s="83"/>
      <c r="AP123" s="83"/>
    </row>
    <row r="124" spans="2:50" hidden="1">
      <c r="B124" t="s">
        <v>95</v>
      </c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88"/>
      <c r="V124" s="83"/>
      <c r="W124" s="83"/>
      <c r="X124" s="148"/>
      <c r="Y124" s="149"/>
      <c r="Z124" s="149"/>
      <c r="AA124" s="148"/>
      <c r="AB124" s="150"/>
      <c r="AC124" s="83"/>
      <c r="AD124" s="83"/>
      <c r="AE124" s="83"/>
      <c r="AF124" s="83"/>
      <c r="AG124" s="83"/>
      <c r="AH124" s="83"/>
      <c r="AI124" s="83"/>
      <c r="AJ124" s="83"/>
      <c r="AK124" s="83"/>
      <c r="AL124" s="83"/>
      <c r="AM124" s="83"/>
      <c r="AN124" s="83"/>
      <c r="AO124" s="83"/>
      <c r="AP124" s="83"/>
    </row>
    <row r="125" spans="2:50" hidden="1">
      <c r="B125" t="s">
        <v>49</v>
      </c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88"/>
      <c r="V125" s="83"/>
      <c r="W125" s="83"/>
      <c r="X125" s="148"/>
      <c r="Y125" s="149"/>
      <c r="Z125" s="149"/>
      <c r="AA125" s="148"/>
      <c r="AB125" s="150"/>
      <c r="AC125" s="83"/>
      <c r="AD125" s="83"/>
      <c r="AE125" s="83"/>
      <c r="AF125" s="83"/>
      <c r="AG125" s="83"/>
      <c r="AH125" s="83"/>
      <c r="AI125" s="83"/>
      <c r="AJ125" s="83"/>
      <c r="AK125" s="83"/>
      <c r="AL125" s="83"/>
      <c r="AM125" s="83"/>
      <c r="AN125" s="83"/>
      <c r="AO125" s="83"/>
      <c r="AP125" s="83"/>
    </row>
    <row r="126" spans="2:50" hidden="1">
      <c r="B126" t="s">
        <v>42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88"/>
      <c r="V126" s="141"/>
      <c r="W126" s="83"/>
      <c r="X126" s="148"/>
      <c r="Y126" s="149"/>
      <c r="Z126" s="149"/>
      <c r="AA126" s="148"/>
      <c r="AB126" s="150"/>
      <c r="AC126" s="83"/>
      <c r="AD126" s="83"/>
    </row>
    <row r="127" spans="2:50" hidden="1">
      <c r="B127" t="s">
        <v>96</v>
      </c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88"/>
      <c r="V127" s="83"/>
      <c r="W127" s="83"/>
      <c r="X127" s="148"/>
      <c r="Y127" s="149"/>
      <c r="Z127" s="149"/>
      <c r="AA127" s="148"/>
      <c r="AB127" s="150"/>
      <c r="AC127" s="83"/>
      <c r="AD127" s="83"/>
    </row>
    <row r="128" spans="2:50" hidden="1">
      <c r="B128" t="s">
        <v>97</v>
      </c>
      <c r="V128" s="83"/>
      <c r="W128" s="83"/>
      <c r="X128" s="148"/>
      <c r="Y128" s="149"/>
      <c r="Z128" s="149"/>
      <c r="AA128" s="148"/>
      <c r="AB128" s="150"/>
      <c r="AC128" s="83"/>
      <c r="AD128" s="83"/>
    </row>
    <row r="129" spans="2:30" hidden="1">
      <c r="B129" t="s">
        <v>48</v>
      </c>
      <c r="V129" s="83"/>
      <c r="W129" s="83"/>
      <c r="X129" s="148"/>
      <c r="Y129" s="149"/>
      <c r="Z129" s="149"/>
      <c r="AA129" s="148"/>
      <c r="AB129" s="150"/>
      <c r="AC129" s="83"/>
      <c r="AD129" s="83"/>
    </row>
    <row r="130" spans="2:30" hidden="1">
      <c r="B130" t="s">
        <v>98</v>
      </c>
      <c r="V130" s="83"/>
      <c r="W130" s="83"/>
      <c r="X130" s="148"/>
      <c r="Y130" s="149"/>
      <c r="Z130" s="149"/>
      <c r="AA130" s="148"/>
      <c r="AB130" s="150"/>
      <c r="AC130" s="83"/>
      <c r="AD130" s="83"/>
    </row>
    <row r="131" spans="2:30" hidden="1">
      <c r="B131" t="s">
        <v>45</v>
      </c>
      <c r="V131" s="83"/>
      <c r="W131" s="103"/>
      <c r="X131" s="83"/>
      <c r="Y131" s="83"/>
      <c r="Z131" s="83"/>
      <c r="AA131" s="83"/>
      <c r="AB131" s="83"/>
      <c r="AC131" s="83"/>
      <c r="AD131" s="83"/>
    </row>
    <row r="132" spans="2:30" hidden="1">
      <c r="B132" t="s">
        <v>50</v>
      </c>
      <c r="V132" s="83"/>
      <c r="W132" s="103"/>
      <c r="X132" s="83"/>
      <c r="Y132" s="83"/>
      <c r="Z132" s="83"/>
      <c r="AA132" s="83"/>
      <c r="AB132" s="83"/>
      <c r="AC132" s="83"/>
      <c r="AD132" s="83"/>
    </row>
    <row r="133" spans="2:30" hidden="1">
      <c r="B133" t="s">
        <v>99</v>
      </c>
      <c r="V133" s="83"/>
      <c r="W133" s="103"/>
      <c r="X133" s="83"/>
      <c r="Y133" s="83"/>
      <c r="Z133" s="83"/>
      <c r="AA133" s="83"/>
      <c r="AB133" s="83"/>
      <c r="AC133" s="83"/>
      <c r="AD133" s="83"/>
    </row>
    <row r="134" spans="2:30" hidden="1">
      <c r="B134" t="s">
        <v>100</v>
      </c>
      <c r="V134" s="83"/>
      <c r="W134" s="103"/>
      <c r="X134" s="83"/>
      <c r="Y134" s="83"/>
      <c r="Z134" s="83"/>
      <c r="AA134" s="83"/>
      <c r="AB134" s="83"/>
      <c r="AC134" s="83"/>
      <c r="AD134" s="83"/>
    </row>
    <row r="135" spans="2:30" hidden="1">
      <c r="V135" s="83"/>
      <c r="W135" s="103"/>
      <c r="X135" s="83"/>
      <c r="Y135" s="83"/>
      <c r="Z135" s="83"/>
      <c r="AA135" s="83"/>
      <c r="AB135" s="83"/>
      <c r="AC135" s="83"/>
      <c r="AD135" s="83"/>
    </row>
    <row r="136" spans="2:30" hidden="1">
      <c r="V136" s="83"/>
      <c r="W136" s="83"/>
      <c r="X136" s="83"/>
      <c r="Y136" s="83"/>
      <c r="Z136" s="552"/>
      <c r="AA136" s="552"/>
      <c r="AB136" s="552"/>
      <c r="AC136" s="83"/>
      <c r="AD136" s="83"/>
    </row>
    <row r="137" spans="2:30" hidden="1">
      <c r="V137" s="83"/>
      <c r="W137" s="83"/>
      <c r="X137" s="83"/>
      <c r="Y137" s="83"/>
      <c r="Z137" s="83"/>
      <c r="AA137" s="83"/>
      <c r="AB137" s="83"/>
      <c r="AC137" s="83"/>
      <c r="AD137" s="83"/>
    </row>
    <row r="138" spans="2:30" hidden="1">
      <c r="V138" s="83"/>
      <c r="W138" s="83"/>
      <c r="X138" s="83"/>
      <c r="Y138" s="83"/>
      <c r="Z138" s="83"/>
      <c r="AA138" s="83"/>
      <c r="AB138" s="83"/>
      <c r="AC138" s="83"/>
      <c r="AD138" s="83"/>
    </row>
    <row r="139" spans="2:30" hidden="1">
      <c r="V139" s="105"/>
      <c r="W139" s="105"/>
      <c r="X139" s="105"/>
      <c r="Y139" s="105"/>
      <c r="Z139" s="105"/>
      <c r="AA139" s="105"/>
      <c r="AB139" s="105"/>
      <c r="AC139" s="105"/>
      <c r="AD139" s="105"/>
    </row>
    <row r="140" spans="2:30" hidden="1">
      <c r="V140" s="105"/>
      <c r="W140" s="105"/>
      <c r="X140" s="105"/>
      <c r="Y140" s="105"/>
      <c r="Z140" s="105"/>
      <c r="AA140" s="105"/>
      <c r="AB140" s="105"/>
      <c r="AC140" s="105"/>
      <c r="AD140" s="105"/>
    </row>
    <row r="141" spans="2:30" hidden="1">
      <c r="V141" s="105"/>
      <c r="W141" s="105"/>
      <c r="X141" s="105"/>
      <c r="Y141" s="105"/>
      <c r="Z141" s="105"/>
      <c r="AA141" s="105"/>
      <c r="AB141" s="105"/>
      <c r="AC141" s="105"/>
      <c r="AD141" s="105"/>
    </row>
    <row r="142" spans="2:30" hidden="1">
      <c r="V142" s="105"/>
      <c r="W142" s="105"/>
      <c r="X142" s="105"/>
      <c r="Y142" s="105"/>
      <c r="Z142" s="105"/>
      <c r="AA142" s="105"/>
      <c r="AB142" s="105"/>
      <c r="AC142" s="105"/>
      <c r="AD142" s="105"/>
    </row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74" spans="6:9" hidden="1">
      <c r="F174" s="130"/>
      <c r="I174" s="304"/>
    </row>
    <row r="175" spans="6:9" hidden="1">
      <c r="F175" s="131"/>
      <c r="I175" s="304"/>
    </row>
    <row r="176" spans="6:9" hidden="1">
      <c r="F176" s="132"/>
      <c r="I176" s="304"/>
    </row>
    <row r="177" spans="6:9" hidden="1">
      <c r="F177" s="131"/>
      <c r="I177" s="304"/>
    </row>
    <row r="178" spans="6:9" hidden="1">
      <c r="F178" s="132"/>
      <c r="I178" s="304"/>
    </row>
    <row r="179" spans="6:9" hidden="1">
      <c r="F179" s="131"/>
      <c r="I179" s="304"/>
    </row>
    <row r="180" spans="6:9" hidden="1">
      <c r="F180" s="132"/>
      <c r="I180" s="304"/>
    </row>
    <row r="181" spans="6:9" hidden="1">
      <c r="F181" s="131"/>
      <c r="I181" s="304"/>
    </row>
    <row r="182" spans="6:9" hidden="1">
      <c r="F182" s="132"/>
      <c r="I182" s="304"/>
    </row>
    <row r="183" spans="6:9" hidden="1">
      <c r="F183" s="131"/>
      <c r="I183" s="304"/>
    </row>
    <row r="184" spans="6:9" hidden="1">
      <c r="F184" s="132"/>
      <c r="I184" s="304"/>
    </row>
    <row r="185" spans="6:9" hidden="1">
      <c r="F185" s="131"/>
      <c r="I185" s="304"/>
    </row>
    <row r="186" spans="6:9" hidden="1">
      <c r="I186" s="304"/>
    </row>
  </sheetData>
  <mergeCells count="135">
    <mergeCell ref="V33:AD33"/>
    <mergeCell ref="I30:Q30"/>
    <mergeCell ref="D30:E30"/>
    <mergeCell ref="B109:D109"/>
    <mergeCell ref="B75:D75"/>
    <mergeCell ref="B79:D79"/>
    <mergeCell ref="B88:D88"/>
    <mergeCell ref="B100:D100"/>
    <mergeCell ref="B101:D101"/>
    <mergeCell ref="B98:D98"/>
    <mergeCell ref="B99:D99"/>
    <mergeCell ref="B102:D102"/>
    <mergeCell ref="B103:D103"/>
    <mergeCell ref="B104:D104"/>
    <mergeCell ref="B89:D89"/>
    <mergeCell ref="B87:D87"/>
    <mergeCell ref="B90:D90"/>
    <mergeCell ref="B91:D91"/>
    <mergeCell ref="B106:D106"/>
    <mergeCell ref="B107:D107"/>
    <mergeCell ref="B108:D108"/>
    <mergeCell ref="B105:D105"/>
    <mergeCell ref="B96:D96"/>
    <mergeCell ref="B82:D82"/>
    <mergeCell ref="B86:D86"/>
    <mergeCell ref="B70:D70"/>
    <mergeCell ref="B72:D72"/>
    <mergeCell ref="B73:D73"/>
    <mergeCell ref="B74:D74"/>
    <mergeCell ref="B80:D80"/>
    <mergeCell ref="B85:D85"/>
    <mergeCell ref="B76:D76"/>
    <mergeCell ref="B77:D77"/>
    <mergeCell ref="B78:D78"/>
    <mergeCell ref="B81:D81"/>
    <mergeCell ref="B92:D92"/>
    <mergeCell ref="B93:D93"/>
    <mergeCell ref="B94:D94"/>
    <mergeCell ref="B95:D95"/>
    <mergeCell ref="AW9:AW12"/>
    <mergeCell ref="AX9:AX12"/>
    <mergeCell ref="B2:AX3"/>
    <mergeCell ref="Y14:AG14"/>
    <mergeCell ref="Z15:AG15"/>
    <mergeCell ref="W9:W12"/>
    <mergeCell ref="D5:E5"/>
    <mergeCell ref="D10:I10"/>
    <mergeCell ref="AH9:AH12"/>
    <mergeCell ref="AI9:AI12"/>
    <mergeCell ref="AJ9:AJ12"/>
    <mergeCell ref="AK9:AK12"/>
    <mergeCell ref="D9:Q9"/>
    <mergeCell ref="V9:V12"/>
    <mergeCell ref="D12:I12"/>
    <mergeCell ref="AR9:AR12"/>
    <mergeCell ref="AF9:AF12"/>
    <mergeCell ref="AG9:AG12"/>
    <mergeCell ref="X13:AG13"/>
    <mergeCell ref="X9:X12"/>
    <mergeCell ref="Y9:Y12"/>
    <mergeCell ref="Z9:Z12"/>
    <mergeCell ref="AA9:AA12"/>
    <mergeCell ref="AB9:AB12"/>
    <mergeCell ref="AF21:AG21"/>
    <mergeCell ref="AA16:AG16"/>
    <mergeCell ref="AB17:AG17"/>
    <mergeCell ref="AS9:AS12"/>
    <mergeCell ref="AT9:AT12"/>
    <mergeCell ref="AU9:AU12"/>
    <mergeCell ref="AV9:AV12"/>
    <mergeCell ref="AM9:AM12"/>
    <mergeCell ref="AN9:AN12"/>
    <mergeCell ref="AO9:AO12"/>
    <mergeCell ref="AP9:AP12"/>
    <mergeCell ref="AQ9:AQ12"/>
    <mergeCell ref="AC9:AC12"/>
    <mergeCell ref="AD9:AD12"/>
    <mergeCell ref="AE9:AE12"/>
    <mergeCell ref="J86:S86"/>
    <mergeCell ref="J83:S83"/>
    <mergeCell ref="J81:S81"/>
    <mergeCell ref="J79:S79"/>
    <mergeCell ref="J77:S77"/>
    <mergeCell ref="J75:S75"/>
    <mergeCell ref="J73:S73"/>
    <mergeCell ref="D13:I13"/>
    <mergeCell ref="D14:I14"/>
    <mergeCell ref="D16:I16"/>
    <mergeCell ref="D17:I17"/>
    <mergeCell ref="B27:AX28"/>
    <mergeCell ref="D23:I23"/>
    <mergeCell ref="D24:I24"/>
    <mergeCell ref="AD19:AG19"/>
    <mergeCell ref="V24:AK24"/>
    <mergeCell ref="AC18:AG18"/>
    <mergeCell ref="D18:I18"/>
    <mergeCell ref="D20:I20"/>
    <mergeCell ref="D21:I21"/>
    <mergeCell ref="D22:I22"/>
    <mergeCell ref="AM24:AX24"/>
    <mergeCell ref="AE20:AG20"/>
    <mergeCell ref="B83:D83"/>
    <mergeCell ref="J105:S105"/>
    <mergeCell ref="J103:S103"/>
    <mergeCell ref="J101:S101"/>
    <mergeCell ref="J99:S99"/>
    <mergeCell ref="J96:S96"/>
    <mergeCell ref="J94:S94"/>
    <mergeCell ref="J92:S92"/>
    <mergeCell ref="J90:S90"/>
    <mergeCell ref="J88:S88"/>
    <mergeCell ref="Z136:AB136"/>
    <mergeCell ref="V5:AX5"/>
    <mergeCell ref="J89:S89"/>
    <mergeCell ref="J87:S87"/>
    <mergeCell ref="J85:S85"/>
    <mergeCell ref="J82:S82"/>
    <mergeCell ref="J80:S80"/>
    <mergeCell ref="J78:S78"/>
    <mergeCell ref="J76:S76"/>
    <mergeCell ref="J74:S74"/>
    <mergeCell ref="J72:S72"/>
    <mergeCell ref="J108:S108"/>
    <mergeCell ref="J106:S106"/>
    <mergeCell ref="J104:S104"/>
    <mergeCell ref="J102:S102"/>
    <mergeCell ref="J100:S100"/>
    <mergeCell ref="J98:S98"/>
    <mergeCell ref="J95:S95"/>
    <mergeCell ref="J93:S93"/>
    <mergeCell ref="J91:S91"/>
    <mergeCell ref="R9:S9"/>
    <mergeCell ref="J70:S70"/>
    <mergeCell ref="J109:S109"/>
    <mergeCell ref="J107:S107"/>
  </mergeCells>
  <dataValidations count="3">
    <dataValidation type="list" allowBlank="1" showInputMessage="1" showErrorMessage="1" sqref="D5:E5" xr:uid="{8EB91731-6E20-4313-B735-869D8E485B71}">
      <formula1>"Cliffwater, Envestnet, JPMorgan"</formula1>
    </dataValidation>
    <dataValidation type="list" allowBlank="1" showInputMessage="1" showErrorMessage="1" sqref="E98:E109 E72:E83 E85:E96" xr:uid="{1A10BEEC-DC74-4827-B684-B6A2F86AF891}">
      <formula1>"&lt;,=,&gt;,0 to 1"</formula1>
    </dataValidation>
    <dataValidation type="list" allowBlank="1" showInputMessage="1" showErrorMessage="1" sqref="B72:D83 B85:D96 B98:D109" xr:uid="{9D5B2633-0EBA-4042-9C35-249170253739}">
      <formula1>$B$120:$B$134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3002-DDEA-4394-AA76-94A0965C2017}">
  <sheetPr codeName="Sheet3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3939-BDA6-432E-B38E-76D0AE5C5330}">
  <sheetPr codeName="Sheet2">
    <tabColor theme="8" tint="-0.249977111117893"/>
  </sheetPr>
  <dimension ref="A1:DD50"/>
  <sheetViews>
    <sheetView showGridLines="0" workbookViewId="0">
      <selection activeCell="G7" sqref="G7:G22"/>
    </sheetView>
  </sheetViews>
  <sheetFormatPr baseColWidth="10" defaultColWidth="0" defaultRowHeight="15" zeroHeight="1"/>
  <cols>
    <col min="1" max="1" width="1.83203125" customWidth="1"/>
    <col min="2" max="2" width="21.33203125" customWidth="1"/>
    <col min="3" max="3" width="3.1640625" customWidth="1"/>
    <col min="4" max="9" width="23.5" customWidth="1"/>
    <col min="10" max="10" width="5.1640625" style="35" customWidth="1"/>
    <col min="11" max="48" width="8.83203125" style="35" hidden="1" customWidth="1"/>
    <col min="49" max="55" width="0" style="35" hidden="1" customWidth="1"/>
    <col min="56" max="73" width="8.83203125" style="35" hidden="1" customWidth="1"/>
    <col min="74" max="83" width="0" style="35" hidden="1" customWidth="1"/>
    <col min="84" max="101" width="8.83203125" style="35" hidden="1" customWidth="1"/>
    <col min="102" max="108" width="0" style="35" hidden="1" customWidth="1"/>
    <col min="109" max="16384" width="8.83203125" style="35" hidden="1"/>
  </cols>
  <sheetData>
    <row r="1" spans="2:9" customFormat="1"/>
    <row r="2" spans="2:9" customFormat="1" ht="14.75" customHeight="1">
      <c r="B2" s="610" t="s">
        <v>101</v>
      </c>
      <c r="C2" s="610"/>
      <c r="D2" s="610"/>
      <c r="E2" s="610"/>
      <c r="F2" s="610"/>
      <c r="G2" s="610"/>
      <c r="H2" s="610"/>
      <c r="I2" s="610"/>
    </row>
    <row r="3" spans="2:9" customFormat="1" ht="14.75" customHeight="1">
      <c r="B3" s="610"/>
      <c r="C3" s="610"/>
      <c r="D3" s="610"/>
      <c r="E3" s="610"/>
      <c r="F3" s="610"/>
      <c r="G3" s="610"/>
      <c r="H3" s="610"/>
      <c r="I3" s="610"/>
    </row>
    <row r="4" spans="2:9" customFormat="1" ht="12.5" customHeight="1"/>
    <row r="5" spans="2:9" ht="19.25" customHeight="1">
      <c r="B5" s="609"/>
      <c r="C5" s="12"/>
      <c r="D5" s="611" t="s">
        <v>102</v>
      </c>
      <c r="E5" s="611"/>
      <c r="F5" s="611"/>
      <c r="G5" s="611"/>
      <c r="H5" s="611"/>
      <c r="I5" s="611"/>
    </row>
    <row r="6" spans="2:9" ht="19.25" customHeight="1">
      <c r="B6" s="609"/>
      <c r="C6" s="31"/>
      <c r="D6" s="21" t="s">
        <v>58</v>
      </c>
      <c r="E6" s="26" t="s">
        <v>59</v>
      </c>
      <c r="F6" s="26" t="s">
        <v>60</v>
      </c>
      <c r="G6" s="26" t="s">
        <v>103</v>
      </c>
      <c r="H6" s="26" t="s">
        <v>104</v>
      </c>
      <c r="I6" s="26"/>
    </row>
    <row r="7" spans="2:9">
      <c r="B7" s="13" t="s">
        <v>13</v>
      </c>
      <c r="C7" s="32"/>
      <c r="D7" s="22"/>
      <c r="E7" s="27"/>
      <c r="F7" s="27"/>
      <c r="G7" s="27"/>
      <c r="H7" s="27"/>
      <c r="I7" s="27"/>
    </row>
    <row r="8" spans="2:9">
      <c r="B8" s="17" t="s">
        <v>14</v>
      </c>
      <c r="C8" s="48"/>
      <c r="D8" s="23" t="s">
        <v>105</v>
      </c>
      <c r="E8" s="28" t="s">
        <v>106</v>
      </c>
      <c r="F8" s="28" t="s">
        <v>107</v>
      </c>
      <c r="G8" s="28" t="s">
        <v>108</v>
      </c>
      <c r="H8" s="135" t="s">
        <v>109</v>
      </c>
      <c r="I8" s="28"/>
    </row>
    <row r="9" spans="2:9">
      <c r="B9" s="18" t="s">
        <v>15</v>
      </c>
      <c r="C9" s="49"/>
      <c r="D9" s="24" t="s">
        <v>110</v>
      </c>
      <c r="E9" s="29" t="s">
        <v>111</v>
      </c>
      <c r="F9" s="29" t="s">
        <v>112</v>
      </c>
      <c r="G9" s="46" t="s">
        <v>113</v>
      </c>
      <c r="H9" s="136" t="s">
        <v>114</v>
      </c>
      <c r="I9" s="29"/>
    </row>
    <row r="10" spans="2:9">
      <c r="B10" s="17" t="s">
        <v>16</v>
      </c>
      <c r="C10" s="48"/>
      <c r="D10" s="23" t="s">
        <v>115</v>
      </c>
      <c r="E10" s="28" t="s">
        <v>116</v>
      </c>
      <c r="F10" s="28" t="s">
        <v>117</v>
      </c>
      <c r="G10" s="28" t="s">
        <v>115</v>
      </c>
      <c r="H10" s="135" t="s">
        <v>63</v>
      </c>
      <c r="I10" s="28"/>
    </row>
    <row r="11" spans="2:9">
      <c r="B11" s="19"/>
      <c r="C11" s="50"/>
      <c r="D11" s="25"/>
      <c r="E11" s="30"/>
      <c r="F11" s="30"/>
      <c r="G11" s="30"/>
      <c r="H11" s="137"/>
      <c r="I11" s="30"/>
    </row>
    <row r="12" spans="2:9">
      <c r="B12" s="13" t="s">
        <v>17</v>
      </c>
      <c r="C12" s="32"/>
      <c r="D12" s="22"/>
      <c r="E12" s="27"/>
      <c r="F12" s="27"/>
      <c r="G12" s="27"/>
      <c r="H12" s="27"/>
      <c r="I12" s="27"/>
    </row>
    <row r="13" spans="2:9">
      <c r="B13" s="17" t="s">
        <v>18</v>
      </c>
      <c r="C13" s="48"/>
      <c r="D13" s="23" t="s">
        <v>118</v>
      </c>
      <c r="E13" s="28" t="s">
        <v>119</v>
      </c>
      <c r="F13" s="28" t="s">
        <v>18</v>
      </c>
      <c r="G13" s="28" t="s">
        <v>120</v>
      </c>
      <c r="H13" s="135" t="s">
        <v>121</v>
      </c>
      <c r="I13" s="28"/>
    </row>
    <row r="14" spans="2:9">
      <c r="B14" s="18" t="s">
        <v>19</v>
      </c>
      <c r="C14" s="49"/>
      <c r="D14" s="24" t="s">
        <v>122</v>
      </c>
      <c r="E14" s="29" t="s">
        <v>123</v>
      </c>
      <c r="F14" s="29" t="s">
        <v>124</v>
      </c>
      <c r="G14" s="29" t="s">
        <v>125</v>
      </c>
      <c r="H14" s="136" t="s">
        <v>19</v>
      </c>
      <c r="I14" s="29"/>
    </row>
    <row r="15" spans="2:9">
      <c r="B15" s="17" t="s">
        <v>20</v>
      </c>
      <c r="C15" s="48"/>
      <c r="D15" s="23" t="s">
        <v>126</v>
      </c>
      <c r="E15" s="28" t="s">
        <v>127</v>
      </c>
      <c r="F15" s="28" t="s">
        <v>128</v>
      </c>
      <c r="G15" s="47" t="s">
        <v>113</v>
      </c>
      <c r="H15" s="135" t="s">
        <v>129</v>
      </c>
      <c r="I15" s="28"/>
    </row>
    <row r="16" spans="2:9">
      <c r="B16" s="20"/>
      <c r="C16" s="50"/>
      <c r="D16" s="25"/>
      <c r="E16" s="30"/>
      <c r="F16" s="30"/>
      <c r="G16" s="30"/>
      <c r="H16" s="137"/>
      <c r="I16" s="30"/>
    </row>
    <row r="17" spans="2:9">
      <c r="B17" s="13" t="s">
        <v>21</v>
      </c>
      <c r="C17" s="32"/>
      <c r="D17" s="22"/>
      <c r="E17" s="27"/>
      <c r="F17" s="27"/>
      <c r="G17" s="27"/>
      <c r="H17" s="27"/>
      <c r="I17" s="27"/>
    </row>
    <row r="18" spans="2:9">
      <c r="B18" s="17" t="s">
        <v>22</v>
      </c>
      <c r="C18" s="48"/>
      <c r="D18" s="23" t="s">
        <v>130</v>
      </c>
      <c r="E18" s="28" t="s">
        <v>22</v>
      </c>
      <c r="F18" s="28" t="s">
        <v>22</v>
      </c>
      <c r="G18" s="28" t="s">
        <v>22</v>
      </c>
      <c r="H18" s="135" t="s">
        <v>22</v>
      </c>
      <c r="I18" s="28"/>
    </row>
    <row r="19" spans="2:9">
      <c r="B19" s="18" t="s">
        <v>23</v>
      </c>
      <c r="C19" s="49"/>
      <c r="D19" s="136" t="s">
        <v>131</v>
      </c>
      <c r="E19" s="29" t="s">
        <v>23</v>
      </c>
      <c r="F19" s="29" t="s">
        <v>132</v>
      </c>
      <c r="G19" s="29" t="s">
        <v>23</v>
      </c>
      <c r="H19" s="46" t="s">
        <v>113</v>
      </c>
      <c r="I19" s="46"/>
    </row>
    <row r="20" spans="2:9">
      <c r="B20" s="17" t="s">
        <v>24</v>
      </c>
      <c r="C20" s="48"/>
      <c r="D20" s="138" t="s">
        <v>133</v>
      </c>
      <c r="E20" s="28" t="s">
        <v>24</v>
      </c>
      <c r="F20" s="28" t="s">
        <v>134</v>
      </c>
      <c r="G20" s="47" t="s">
        <v>113</v>
      </c>
      <c r="H20" s="135" t="s">
        <v>135</v>
      </c>
      <c r="I20" s="28"/>
    </row>
    <row r="21" spans="2:9">
      <c r="B21" s="18" t="s">
        <v>25</v>
      </c>
      <c r="C21" s="49"/>
      <c r="D21" s="136" t="s">
        <v>25</v>
      </c>
      <c r="E21" s="46" t="s">
        <v>113</v>
      </c>
      <c r="F21" s="136" t="s">
        <v>136</v>
      </c>
      <c r="G21" s="46" t="s">
        <v>113</v>
      </c>
      <c r="H21" s="46" t="s">
        <v>113</v>
      </c>
      <c r="I21" s="46"/>
    </row>
    <row r="22" spans="2:9">
      <c r="B22" s="17" t="s">
        <v>26</v>
      </c>
      <c r="C22" s="48"/>
      <c r="D22" s="23" t="s">
        <v>137</v>
      </c>
      <c r="E22" s="28" t="s">
        <v>138</v>
      </c>
      <c r="F22" s="28" t="s">
        <v>137</v>
      </c>
      <c r="G22" s="28" t="s">
        <v>139</v>
      </c>
      <c r="H22" s="135" t="s">
        <v>139</v>
      </c>
      <c r="I22" s="28"/>
    </row>
    <row r="23" spans="2:9">
      <c r="D23" s="1"/>
      <c r="E23" s="1"/>
      <c r="F23" s="1"/>
      <c r="G23" s="1"/>
      <c r="H23" s="1"/>
      <c r="I23" s="1"/>
    </row>
    <row r="24" spans="2:9">
      <c r="B24" s="16"/>
      <c r="C24" s="14"/>
      <c r="D24" s="15"/>
      <c r="E24" s="15"/>
      <c r="F24" s="15"/>
      <c r="G24" s="15"/>
      <c r="H24" s="15"/>
      <c r="I24" s="15"/>
    </row>
    <row r="25" spans="2:9">
      <c r="B25" s="16"/>
      <c r="C25" s="14"/>
      <c r="D25" s="15"/>
      <c r="E25" s="15"/>
      <c r="F25" s="15"/>
      <c r="G25" s="15"/>
      <c r="H25" s="15"/>
      <c r="I25" s="15"/>
    </row>
    <row r="26" spans="2:9"/>
    <row r="27" spans="2:9"/>
    <row r="28" spans="2:9"/>
    <row r="29" spans="2:9"/>
    <row r="30" spans="2:9"/>
    <row r="31" spans="2:9"/>
    <row r="32" spans="2:9"/>
    <row r="33" spans="2:2"/>
    <row r="34" spans="2:2"/>
    <row r="35" spans="2:2"/>
    <row r="36" spans="2:2"/>
    <row r="37" spans="2:2"/>
    <row r="38" spans="2:2"/>
    <row r="39" spans="2:2">
      <c r="B39" s="11"/>
    </row>
    <row r="40" spans="2:2"/>
    <row r="41" spans="2:2"/>
    <row r="42" spans="2:2"/>
    <row r="43" spans="2:2"/>
    <row r="44" spans="2:2"/>
    <row r="45" spans="2:2"/>
    <row r="46" spans="2:2"/>
    <row r="47" spans="2:2"/>
    <row r="48" spans="2:2"/>
    <row r="49"/>
    <row r="50"/>
  </sheetData>
  <mergeCells count="3">
    <mergeCell ref="B5:B6"/>
    <mergeCell ref="B2:I3"/>
    <mergeCell ref="D5:I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CDD94-6A13-4CAB-87BF-63FAE608ADF2}">
  <sheetPr codeName="Sheet4">
    <tabColor theme="8" tint="0.39997558519241921"/>
  </sheetPr>
  <dimension ref="A1:CV84"/>
  <sheetViews>
    <sheetView showGridLines="0" tabSelected="1" topLeftCell="A30" zoomScale="84" zoomScaleNormal="84" workbookViewId="0">
      <selection activeCell="AU80" sqref="AU80"/>
    </sheetView>
  </sheetViews>
  <sheetFormatPr baseColWidth="10" defaultColWidth="0" defaultRowHeight="15"/>
  <cols>
    <col min="1" max="1" width="1.83203125" customWidth="1"/>
    <col min="2" max="2" width="13" style="35" customWidth="1"/>
    <col min="3" max="3" width="32.5" style="35" customWidth="1"/>
    <col min="4" max="4" width="46.83203125" style="35" customWidth="1"/>
    <col min="5" max="5" width="9.6640625" style="35" customWidth="1"/>
    <col min="6" max="6" width="9" style="35" customWidth="1"/>
    <col min="7" max="7" width="9.1640625" style="35" customWidth="1"/>
    <col min="8" max="8" width="3.33203125" style="35" customWidth="1"/>
    <col min="9" max="9" width="34.1640625" style="35" customWidth="1"/>
    <col min="10" max="45" width="5.33203125" style="35" customWidth="1"/>
    <col min="46" max="47" width="8.83203125" style="35" customWidth="1"/>
    <col min="48" max="93" width="8.83203125" style="35" hidden="1" customWidth="1"/>
    <col min="94" max="100" width="0" style="35" hidden="1" customWidth="1"/>
    <col min="101" max="16384" width="8.83203125" style="35" hidden="1"/>
  </cols>
  <sheetData>
    <row r="1" spans="2:45" customFormat="1"/>
    <row r="2" spans="2:45" customFormat="1" ht="14.75" customHeight="1">
      <c r="B2" s="610" t="s">
        <v>140</v>
      </c>
      <c r="C2" s="610"/>
      <c r="D2" s="610"/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  <c r="R2" s="610"/>
      <c r="S2" s="610"/>
      <c r="T2" s="610"/>
      <c r="U2" s="610"/>
      <c r="V2" s="610"/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0"/>
      <c r="AJ2" s="610"/>
      <c r="AK2" s="610"/>
      <c r="AL2" s="610"/>
      <c r="AM2" s="610"/>
      <c r="AN2" s="610"/>
      <c r="AO2" s="610"/>
      <c r="AP2" s="610"/>
      <c r="AQ2" s="610"/>
      <c r="AR2" s="610"/>
      <c r="AS2" s="610"/>
    </row>
    <row r="3" spans="2:45" customFormat="1" ht="14.75" customHeight="1"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  <c r="R3" s="610"/>
      <c r="S3" s="610"/>
      <c r="T3" s="610"/>
      <c r="U3" s="610"/>
      <c r="V3" s="610"/>
      <c r="W3" s="610"/>
      <c r="X3" s="610"/>
      <c r="Y3" s="610"/>
      <c r="Z3" s="610"/>
      <c r="AA3" s="610"/>
      <c r="AB3" s="610"/>
      <c r="AC3" s="610"/>
      <c r="AD3" s="610"/>
      <c r="AE3" s="610"/>
      <c r="AF3" s="610"/>
      <c r="AG3" s="610"/>
      <c r="AH3" s="610"/>
      <c r="AI3" s="610"/>
      <c r="AJ3" s="610"/>
      <c r="AK3" s="610"/>
      <c r="AL3" s="610"/>
      <c r="AM3" s="610"/>
      <c r="AN3" s="610"/>
      <c r="AO3" s="610"/>
      <c r="AP3" s="610"/>
      <c r="AQ3" s="610"/>
      <c r="AR3" s="610"/>
      <c r="AS3" s="610"/>
    </row>
    <row r="4" spans="2:45" customFormat="1" ht="12.5" customHeight="1">
      <c r="E4" s="106" t="s">
        <v>141</v>
      </c>
      <c r="F4" s="106" t="s">
        <v>142</v>
      </c>
    </row>
    <row r="5" spans="2:45" customFormat="1" ht="68" customHeight="1">
      <c r="B5" s="39" t="s">
        <v>54</v>
      </c>
      <c r="C5" s="39" t="s">
        <v>143</v>
      </c>
      <c r="D5" s="39" t="s">
        <v>144</v>
      </c>
      <c r="E5" s="40" t="s">
        <v>145</v>
      </c>
      <c r="F5" s="40" t="s">
        <v>33</v>
      </c>
      <c r="G5" s="40" t="s">
        <v>34</v>
      </c>
      <c r="H5" s="36"/>
      <c r="I5" s="34" t="s">
        <v>146</v>
      </c>
      <c r="J5" s="71" t="s">
        <v>105</v>
      </c>
      <c r="K5" s="71" t="s">
        <v>110</v>
      </c>
      <c r="L5" s="71" t="s">
        <v>115</v>
      </c>
      <c r="M5" s="71" t="s">
        <v>147</v>
      </c>
      <c r="N5" s="71" t="s">
        <v>118</v>
      </c>
      <c r="O5" s="71" t="s">
        <v>148</v>
      </c>
      <c r="P5" s="71" t="s">
        <v>149</v>
      </c>
      <c r="Q5" s="71" t="s">
        <v>150</v>
      </c>
      <c r="R5" s="71" t="s">
        <v>151</v>
      </c>
      <c r="S5" s="71" t="s">
        <v>122</v>
      </c>
      <c r="T5" s="71" t="s">
        <v>152</v>
      </c>
      <c r="U5" s="71" t="s">
        <v>126</v>
      </c>
      <c r="V5" s="71" t="s">
        <v>133</v>
      </c>
      <c r="W5" s="71" t="s">
        <v>153</v>
      </c>
      <c r="X5" s="71" t="s">
        <v>154</v>
      </c>
      <c r="Y5" s="71" t="s">
        <v>130</v>
      </c>
      <c r="Z5" s="71" t="s">
        <v>137</v>
      </c>
      <c r="AA5" s="71" t="s">
        <v>155</v>
      </c>
      <c r="AB5" s="71" t="s">
        <v>156</v>
      </c>
      <c r="AC5" s="71" t="s">
        <v>157</v>
      </c>
      <c r="AD5" s="70" t="s">
        <v>25</v>
      </c>
      <c r="AE5" s="70" t="s">
        <v>158</v>
      </c>
      <c r="AF5" s="70" t="s">
        <v>131</v>
      </c>
      <c r="AG5" s="70" t="s">
        <v>159</v>
      </c>
      <c r="AH5" s="70" t="s">
        <v>160</v>
      </c>
      <c r="AI5" s="70" t="s">
        <v>161</v>
      </c>
      <c r="AJ5" s="70" t="s">
        <v>162</v>
      </c>
      <c r="AK5" s="70" t="s">
        <v>163</v>
      </c>
      <c r="AL5" s="70" t="s">
        <v>164</v>
      </c>
      <c r="AM5" s="70" t="s">
        <v>165</v>
      </c>
      <c r="AN5" s="70" t="s">
        <v>166</v>
      </c>
      <c r="AO5" s="70" t="s">
        <v>167</v>
      </c>
      <c r="AP5" s="70" t="s">
        <v>168</v>
      </c>
      <c r="AQ5" s="70" t="s">
        <v>169</v>
      </c>
      <c r="AR5" s="70" t="s">
        <v>170</v>
      </c>
      <c r="AS5" s="70" t="s">
        <v>171</v>
      </c>
    </row>
    <row r="6" spans="2:45">
      <c r="B6" s="35" t="s">
        <v>13</v>
      </c>
      <c r="C6" s="35" t="s">
        <v>105</v>
      </c>
      <c r="E6" s="38">
        <v>6.4000000000000001E-2</v>
      </c>
      <c r="F6" s="38">
        <v>7.85E-2</v>
      </c>
      <c r="G6" s="38">
        <v>0.17</v>
      </c>
      <c r="I6" s="69" t="s">
        <v>105</v>
      </c>
      <c r="J6" s="37">
        <v>1</v>
      </c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</row>
    <row r="7" spans="2:45">
      <c r="B7" s="35" t="s">
        <v>13</v>
      </c>
      <c r="C7" s="35" t="s">
        <v>110</v>
      </c>
      <c r="E7" s="38">
        <v>6.4000000000000001E-2</v>
      </c>
      <c r="F7" s="38">
        <v>8.0199999999999994E-2</v>
      </c>
      <c r="G7" s="38">
        <v>0.18</v>
      </c>
      <c r="I7" s="69" t="s">
        <v>110</v>
      </c>
      <c r="J7" s="37">
        <v>0.85</v>
      </c>
      <c r="K7" s="37">
        <v>1</v>
      </c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</row>
    <row r="8" spans="2:45">
      <c r="B8" s="35" t="s">
        <v>13</v>
      </c>
      <c r="C8" s="35" t="s">
        <v>115</v>
      </c>
      <c r="E8" s="38">
        <v>6.9000000000000006E-2</v>
      </c>
      <c r="F8" s="38">
        <v>0.10279999999999999</v>
      </c>
      <c r="G8" s="38">
        <v>0.02</v>
      </c>
      <c r="I8" s="69" t="s">
        <v>115</v>
      </c>
      <c r="J8" s="37">
        <v>0.85</v>
      </c>
      <c r="K8" s="37">
        <v>0.8</v>
      </c>
      <c r="L8" s="37">
        <v>1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</row>
    <row r="9" spans="2:45">
      <c r="B9" s="35" t="s">
        <v>13</v>
      </c>
      <c r="C9" s="35" t="s">
        <v>147</v>
      </c>
      <c r="E9" s="38">
        <v>6.7000000000000004E-2</v>
      </c>
      <c r="F9" s="38">
        <v>8.2699999999999996E-2</v>
      </c>
      <c r="G9" s="38">
        <v>0.17699999999999999</v>
      </c>
      <c r="I9" s="69" t="s">
        <v>147</v>
      </c>
      <c r="J9" s="37">
        <v>0.9</v>
      </c>
      <c r="K9" s="37">
        <v>0.9</v>
      </c>
      <c r="L9" s="37">
        <v>0.85</v>
      </c>
      <c r="M9" s="37">
        <v>1</v>
      </c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</row>
    <row r="10" spans="2:45">
      <c r="B10" s="35" t="s">
        <v>172</v>
      </c>
      <c r="C10" s="35" t="s">
        <v>118</v>
      </c>
      <c r="E10" s="38">
        <v>1.7500000000000002E-2</v>
      </c>
      <c r="F10" s="38">
        <v>1.83E-2</v>
      </c>
      <c r="G10" s="38">
        <v>0.04</v>
      </c>
      <c r="I10" s="69" t="s">
        <v>118</v>
      </c>
      <c r="J10" s="37">
        <v>0</v>
      </c>
      <c r="K10" s="37">
        <v>0</v>
      </c>
      <c r="L10" s="37">
        <v>0.05</v>
      </c>
      <c r="M10" s="37">
        <v>0</v>
      </c>
      <c r="N10" s="37">
        <v>1</v>
      </c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</row>
    <row r="11" spans="2:45">
      <c r="B11" s="35" t="s">
        <v>172</v>
      </c>
      <c r="C11" s="35" t="s">
        <v>148</v>
      </c>
      <c r="E11" s="38">
        <v>2.35E-2</v>
      </c>
      <c r="F11" s="38">
        <v>2.53E-2</v>
      </c>
      <c r="G11" s="38">
        <v>0.06</v>
      </c>
      <c r="I11" s="69" t="s">
        <v>148</v>
      </c>
      <c r="J11" s="37">
        <v>0.25</v>
      </c>
      <c r="K11" s="37">
        <v>0.25</v>
      </c>
      <c r="L11" s="37">
        <v>0.3</v>
      </c>
      <c r="M11" s="37">
        <v>0.25</v>
      </c>
      <c r="N11" s="37">
        <v>0.87</v>
      </c>
      <c r="O11" s="37">
        <v>1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</row>
    <row r="12" spans="2:45">
      <c r="B12" s="35" t="s">
        <v>172</v>
      </c>
      <c r="C12" s="35" t="s">
        <v>149</v>
      </c>
      <c r="E12" s="38">
        <v>1.4999999999999999E-2</v>
      </c>
      <c r="F12" s="38">
        <v>1.8200000000000001E-2</v>
      </c>
      <c r="G12" s="38">
        <v>0.08</v>
      </c>
      <c r="I12" s="69" t="s">
        <v>149</v>
      </c>
      <c r="J12" s="37">
        <v>-0.2</v>
      </c>
      <c r="K12" s="37">
        <v>0</v>
      </c>
      <c r="L12" s="37">
        <v>0</v>
      </c>
      <c r="M12" s="37">
        <v>-0.05</v>
      </c>
      <c r="N12" s="37">
        <v>0.85</v>
      </c>
      <c r="O12" s="37">
        <v>0.65</v>
      </c>
      <c r="P12" s="37">
        <v>1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</row>
    <row r="13" spans="2:45">
      <c r="B13" s="35" t="s">
        <v>172</v>
      </c>
      <c r="C13" s="35" t="s">
        <v>150</v>
      </c>
      <c r="E13" s="38">
        <v>1.55E-2</v>
      </c>
      <c r="F13" s="38">
        <v>1.5700000000000002E-2</v>
      </c>
      <c r="G13" s="38">
        <v>0.02</v>
      </c>
      <c r="I13" s="69" t="s">
        <v>150</v>
      </c>
      <c r="J13" s="37">
        <v>0</v>
      </c>
      <c r="K13" s="37">
        <v>0</v>
      </c>
      <c r="L13" s="37">
        <v>0.05</v>
      </c>
      <c r="M13" s="37">
        <v>0</v>
      </c>
      <c r="N13" s="37">
        <v>0.05</v>
      </c>
      <c r="O13" s="37">
        <v>0.05</v>
      </c>
      <c r="P13" s="37">
        <v>0</v>
      </c>
      <c r="Q13" s="37">
        <v>1</v>
      </c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</row>
    <row r="14" spans="2:45">
      <c r="B14" s="35" t="s">
        <v>172</v>
      </c>
      <c r="C14" s="35" t="s">
        <v>151</v>
      </c>
      <c r="E14" s="38">
        <v>1.4999999999999999E-2</v>
      </c>
      <c r="F14" s="38">
        <v>1.7500000000000002E-2</v>
      </c>
      <c r="G14" s="38">
        <v>7.0000000000000007E-2</v>
      </c>
      <c r="I14" s="69" t="s">
        <v>151</v>
      </c>
      <c r="J14" s="37">
        <v>0</v>
      </c>
      <c r="K14" s="37">
        <v>0.15</v>
      </c>
      <c r="L14" s="37">
        <v>0.15</v>
      </c>
      <c r="M14" s="37">
        <v>0.1</v>
      </c>
      <c r="N14" s="37">
        <v>0.8</v>
      </c>
      <c r="O14" s="37">
        <v>0.7</v>
      </c>
      <c r="P14" s="37">
        <v>0.65</v>
      </c>
      <c r="Q14" s="37">
        <v>-0.05</v>
      </c>
      <c r="R14" s="37">
        <v>1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</row>
    <row r="15" spans="2:45">
      <c r="B15" s="35" t="s">
        <v>172</v>
      </c>
      <c r="C15" s="35" t="s">
        <v>122</v>
      </c>
      <c r="E15" s="38">
        <v>4.0999999999999995E-2</v>
      </c>
      <c r="F15" s="38">
        <v>4.7100000000000003E-2</v>
      </c>
      <c r="G15" s="38">
        <v>0.11</v>
      </c>
      <c r="I15" s="69" t="s">
        <v>122</v>
      </c>
      <c r="J15" s="37">
        <v>0.65</v>
      </c>
      <c r="K15" s="37">
        <v>0.6</v>
      </c>
      <c r="L15" s="37">
        <v>0.6</v>
      </c>
      <c r="M15" s="37">
        <v>0.6</v>
      </c>
      <c r="N15" s="37">
        <v>0.19</v>
      </c>
      <c r="O15" s="37">
        <v>0.5</v>
      </c>
      <c r="P15" s="37">
        <v>-0.15</v>
      </c>
      <c r="Q15" s="37">
        <v>-0.15</v>
      </c>
      <c r="R15" s="37">
        <v>0.3</v>
      </c>
      <c r="S15" s="37">
        <v>1</v>
      </c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</row>
    <row r="16" spans="2:45">
      <c r="B16" s="35" t="s">
        <v>172</v>
      </c>
      <c r="C16" s="35" t="s">
        <v>152</v>
      </c>
      <c r="E16" s="38">
        <v>4.2999999999999997E-2</v>
      </c>
      <c r="F16" s="38">
        <v>4.5499999999999999E-2</v>
      </c>
      <c r="G16" s="38">
        <v>7.0000000000000007E-2</v>
      </c>
      <c r="I16" s="69" t="s">
        <v>152</v>
      </c>
      <c r="J16" s="37">
        <v>0.55000000000000004</v>
      </c>
      <c r="K16" s="37">
        <v>0.1</v>
      </c>
      <c r="L16" s="37">
        <v>0.4</v>
      </c>
      <c r="M16" s="37">
        <v>0.4</v>
      </c>
      <c r="N16" s="37">
        <v>0.05</v>
      </c>
      <c r="O16" s="37">
        <v>0.3</v>
      </c>
      <c r="P16" s="37">
        <v>-0.2</v>
      </c>
      <c r="Q16" s="37">
        <v>0.2</v>
      </c>
      <c r="R16" s="37">
        <v>0.3</v>
      </c>
      <c r="S16" s="37">
        <v>0.8</v>
      </c>
      <c r="T16" s="37">
        <v>1</v>
      </c>
      <c r="U16" s="37"/>
      <c r="V16" s="37"/>
      <c r="W16" s="37"/>
      <c r="X16" s="37"/>
      <c r="Y16" s="37"/>
      <c r="Z16" s="37"/>
      <c r="AA16" s="37"/>
      <c r="AB16" s="37"/>
      <c r="AC16" s="37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</row>
    <row r="17" spans="2:45">
      <c r="B17" s="35" t="s">
        <v>172</v>
      </c>
      <c r="C17" s="35" t="s">
        <v>126</v>
      </c>
      <c r="E17" s="38">
        <v>4.5499999999999999E-2</v>
      </c>
      <c r="F17" s="38">
        <v>4.8000000000000001E-2</v>
      </c>
      <c r="G17" s="38">
        <v>7.0000000000000007E-2</v>
      </c>
      <c r="I17" s="69" t="s">
        <v>126</v>
      </c>
      <c r="J17" s="37">
        <v>0.55000000000000004</v>
      </c>
      <c r="K17" s="37">
        <v>0.6</v>
      </c>
      <c r="L17" s="37">
        <v>0.6</v>
      </c>
      <c r="M17" s="37">
        <v>0.6</v>
      </c>
      <c r="N17" s="37">
        <v>0.55000000000000004</v>
      </c>
      <c r="O17" s="37">
        <v>0.75</v>
      </c>
      <c r="P17" s="37">
        <v>0.3</v>
      </c>
      <c r="Q17" s="37">
        <v>-0.15</v>
      </c>
      <c r="R17" s="37">
        <v>0.55000000000000004</v>
      </c>
      <c r="S17" s="37">
        <v>0.7</v>
      </c>
      <c r="T17" s="37">
        <v>0.4</v>
      </c>
      <c r="U17" s="37">
        <v>1</v>
      </c>
      <c r="V17" s="37"/>
      <c r="W17" s="37"/>
      <c r="X17" s="37"/>
      <c r="Y17" s="37"/>
      <c r="Z17" s="37"/>
      <c r="AA17" s="37"/>
      <c r="AB17" s="37"/>
      <c r="AC17" s="37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</row>
    <row r="18" spans="2:45">
      <c r="B18" s="35" t="s">
        <v>21</v>
      </c>
      <c r="C18" s="35" t="s">
        <v>133</v>
      </c>
      <c r="E18" s="38">
        <v>6.7000000000000004E-2</v>
      </c>
      <c r="F18" s="38">
        <v>7.8299999999999995E-2</v>
      </c>
      <c r="G18" s="38">
        <v>0.15</v>
      </c>
      <c r="I18" s="69" t="s">
        <v>133</v>
      </c>
      <c r="J18" s="37">
        <v>0.5</v>
      </c>
      <c r="K18" s="37">
        <v>0.45</v>
      </c>
      <c r="L18" s="37">
        <v>0.4</v>
      </c>
      <c r="M18" s="37">
        <v>0.45</v>
      </c>
      <c r="N18" s="37">
        <v>0</v>
      </c>
      <c r="O18" s="37">
        <v>0.15</v>
      </c>
      <c r="P18" s="37">
        <v>-0.1</v>
      </c>
      <c r="Q18" s="37">
        <v>0</v>
      </c>
      <c r="R18" s="37">
        <v>0.3</v>
      </c>
      <c r="S18" s="37">
        <v>0.65</v>
      </c>
      <c r="T18" s="37">
        <v>0.4</v>
      </c>
      <c r="U18" s="37">
        <v>0.25</v>
      </c>
      <c r="V18" s="37">
        <v>1</v>
      </c>
      <c r="W18" s="37"/>
      <c r="X18" s="37"/>
      <c r="Y18" s="37"/>
      <c r="Z18" s="37"/>
      <c r="AA18" s="37"/>
      <c r="AB18" s="37"/>
      <c r="AC18" s="37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</row>
    <row r="19" spans="2:45">
      <c r="B19" s="35" t="s">
        <v>21</v>
      </c>
      <c r="C19" s="35" t="s">
        <v>153</v>
      </c>
      <c r="E19" s="38">
        <v>5.7000000000000002E-2</v>
      </c>
      <c r="F19" s="38">
        <v>8.1199999999999994E-2</v>
      </c>
      <c r="G19" s="38">
        <v>0.22</v>
      </c>
      <c r="I19" s="69" t="s">
        <v>153</v>
      </c>
      <c r="J19" s="37">
        <v>0.7</v>
      </c>
      <c r="K19" s="37">
        <v>0.65</v>
      </c>
      <c r="L19" s="37">
        <v>0.65</v>
      </c>
      <c r="M19" s="37">
        <v>0.65</v>
      </c>
      <c r="N19" s="37">
        <v>0.15</v>
      </c>
      <c r="O19" s="37">
        <v>0.15</v>
      </c>
      <c r="P19" s="37">
        <v>0</v>
      </c>
      <c r="Q19" s="37">
        <v>-0.15</v>
      </c>
      <c r="R19" s="37">
        <v>0.2</v>
      </c>
      <c r="S19" s="37">
        <v>0.65</v>
      </c>
      <c r="T19" s="37">
        <v>0.4</v>
      </c>
      <c r="U19" s="37">
        <v>0.5</v>
      </c>
      <c r="V19" s="37">
        <v>0.75</v>
      </c>
      <c r="W19" s="37">
        <v>1</v>
      </c>
      <c r="X19" s="37"/>
      <c r="Y19" s="37"/>
      <c r="Z19" s="37"/>
      <c r="AA19" s="37"/>
      <c r="AB19" s="37"/>
      <c r="AC19" s="37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</row>
    <row r="20" spans="2:45">
      <c r="B20" s="35" t="s">
        <v>21</v>
      </c>
      <c r="C20" s="35" t="s">
        <v>154</v>
      </c>
      <c r="E20" s="38">
        <v>7.6999999999999999E-2</v>
      </c>
      <c r="F20" s="38">
        <v>0.122</v>
      </c>
      <c r="G20" s="38">
        <v>0.3</v>
      </c>
      <c r="I20" s="69" t="s">
        <v>154</v>
      </c>
      <c r="J20" s="37">
        <v>0.5</v>
      </c>
      <c r="K20" s="37">
        <v>0.45</v>
      </c>
      <c r="L20" s="37">
        <v>0.4</v>
      </c>
      <c r="M20" s="37">
        <v>0.45</v>
      </c>
      <c r="N20" s="37">
        <v>0</v>
      </c>
      <c r="O20" s="37">
        <v>0.05</v>
      </c>
      <c r="P20" s="37">
        <v>0.05</v>
      </c>
      <c r="Q20" s="37">
        <v>0</v>
      </c>
      <c r="R20" s="37">
        <v>0</v>
      </c>
      <c r="S20" s="37">
        <v>0.7</v>
      </c>
      <c r="T20" s="37">
        <v>0.5</v>
      </c>
      <c r="U20" s="37">
        <v>0.1</v>
      </c>
      <c r="V20" s="37">
        <v>0.75</v>
      </c>
      <c r="W20" s="37">
        <v>0.65</v>
      </c>
      <c r="X20" s="37">
        <v>1</v>
      </c>
      <c r="Y20" s="37"/>
      <c r="Z20" s="37"/>
      <c r="AA20" s="37"/>
      <c r="AB20" s="37"/>
      <c r="AC20" s="37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</row>
    <row r="21" spans="2:45">
      <c r="B21" s="35" t="s">
        <v>21</v>
      </c>
      <c r="C21" s="35" t="s">
        <v>130</v>
      </c>
      <c r="E21" s="38">
        <v>9.4E-2</v>
      </c>
      <c r="F21" s="38">
        <v>0.114</v>
      </c>
      <c r="G21" s="38">
        <v>0.2</v>
      </c>
      <c r="I21" s="69" t="s">
        <v>130</v>
      </c>
      <c r="J21" s="37">
        <v>0.8</v>
      </c>
      <c r="K21" s="37">
        <v>0.7</v>
      </c>
      <c r="L21" s="37">
        <v>0.6</v>
      </c>
      <c r="M21" s="37">
        <v>0.7</v>
      </c>
      <c r="N21" s="37">
        <v>0</v>
      </c>
      <c r="O21" s="37">
        <v>0.25</v>
      </c>
      <c r="P21" s="37">
        <v>-0.2</v>
      </c>
      <c r="Q21" s="37">
        <v>0</v>
      </c>
      <c r="R21" s="37">
        <v>0</v>
      </c>
      <c r="S21" s="37">
        <v>0.65</v>
      </c>
      <c r="T21" s="37">
        <v>0.5</v>
      </c>
      <c r="U21" s="37">
        <v>0.25</v>
      </c>
      <c r="V21" s="37">
        <v>0.7</v>
      </c>
      <c r="W21" s="37">
        <v>0.6</v>
      </c>
      <c r="X21" s="37">
        <v>0.6</v>
      </c>
      <c r="Y21" s="37">
        <v>1</v>
      </c>
      <c r="Z21" s="37"/>
      <c r="AA21" s="37"/>
      <c r="AB21" s="37"/>
      <c r="AC21" s="37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</row>
    <row r="22" spans="2:45">
      <c r="B22" s="35" t="s">
        <v>21</v>
      </c>
      <c r="C22" s="35" t="s">
        <v>137</v>
      </c>
      <c r="E22" s="38">
        <v>4.1500000000000002E-2</v>
      </c>
      <c r="F22" s="38">
        <v>4.2500000000000003E-2</v>
      </c>
      <c r="G22" s="38">
        <v>4.4000000000000004E-2</v>
      </c>
      <c r="I22" s="69" t="s">
        <v>137</v>
      </c>
      <c r="J22" s="37">
        <v>0.7</v>
      </c>
      <c r="K22" s="37">
        <v>0.7</v>
      </c>
      <c r="L22" s="37">
        <v>0.65</v>
      </c>
      <c r="M22" s="37">
        <v>0.7</v>
      </c>
      <c r="N22" s="37">
        <v>0</v>
      </c>
      <c r="O22" s="37">
        <v>0.3</v>
      </c>
      <c r="P22" s="37">
        <v>-0.25</v>
      </c>
      <c r="Q22" s="37">
        <v>-0.1</v>
      </c>
      <c r="R22" s="37">
        <v>0.15</v>
      </c>
      <c r="S22" s="37">
        <v>0.7</v>
      </c>
      <c r="T22" s="37">
        <v>0.8</v>
      </c>
      <c r="U22" s="37">
        <v>0.55000000000000004</v>
      </c>
      <c r="V22" s="37">
        <v>0.2</v>
      </c>
      <c r="W22" s="37">
        <v>0.55000000000000004</v>
      </c>
      <c r="X22" s="37">
        <v>0.2</v>
      </c>
      <c r="Y22" s="37">
        <v>0.3</v>
      </c>
      <c r="Z22" s="37">
        <v>1</v>
      </c>
      <c r="AA22" s="37"/>
      <c r="AB22" s="37"/>
      <c r="AC22" s="37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</row>
    <row r="23" spans="2:45">
      <c r="B23" s="35" t="s">
        <v>21</v>
      </c>
      <c r="C23" s="35" t="s">
        <v>155</v>
      </c>
      <c r="E23" s="38">
        <v>9.4E-2</v>
      </c>
      <c r="F23" s="38">
        <v>0.1421</v>
      </c>
      <c r="G23" s="38">
        <v>0.31</v>
      </c>
      <c r="I23" s="69" t="s">
        <v>155</v>
      </c>
      <c r="J23" s="37">
        <v>0.6</v>
      </c>
      <c r="K23" s="37">
        <v>0.2</v>
      </c>
      <c r="L23" s="37">
        <v>0.4</v>
      </c>
      <c r="M23" s="37">
        <v>0.45</v>
      </c>
      <c r="N23" s="37">
        <v>0.4</v>
      </c>
      <c r="O23" s="37">
        <v>0.25</v>
      </c>
      <c r="P23" s="37">
        <v>0.3</v>
      </c>
      <c r="Q23" s="37">
        <v>0.3</v>
      </c>
      <c r="R23" s="37">
        <v>0.1</v>
      </c>
      <c r="S23" s="37">
        <v>0</v>
      </c>
      <c r="T23" s="37">
        <v>0</v>
      </c>
      <c r="U23" s="37">
        <v>0.1</v>
      </c>
      <c r="V23" s="37">
        <v>0.3</v>
      </c>
      <c r="W23" s="37">
        <v>0.6</v>
      </c>
      <c r="X23" s="37">
        <v>0.5</v>
      </c>
      <c r="Y23" s="37">
        <v>0.8</v>
      </c>
      <c r="Z23" s="37">
        <v>0.3</v>
      </c>
      <c r="AA23" s="37">
        <v>1</v>
      </c>
      <c r="AB23" s="37"/>
      <c r="AC23" s="37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</row>
    <row r="24" spans="2:45">
      <c r="B24" s="35" t="s">
        <v>21</v>
      </c>
      <c r="C24" s="35" t="s">
        <v>156</v>
      </c>
      <c r="E24" s="38">
        <v>6.5000000000000002E-2</v>
      </c>
      <c r="F24" s="38">
        <v>7.1099999999999997E-2</v>
      </c>
      <c r="G24" s="38">
        <v>0.11</v>
      </c>
      <c r="I24" s="69" t="s">
        <v>156</v>
      </c>
      <c r="J24" s="37">
        <v>0.1</v>
      </c>
      <c r="K24" s="37">
        <v>0.1</v>
      </c>
      <c r="L24" s="37">
        <v>0.1</v>
      </c>
      <c r="M24" s="37">
        <v>0.1</v>
      </c>
      <c r="N24" s="37">
        <v>-0.1</v>
      </c>
      <c r="O24" s="37">
        <v>-0.1</v>
      </c>
      <c r="P24" s="37">
        <v>-0.1</v>
      </c>
      <c r="Q24" s="37">
        <v>0</v>
      </c>
      <c r="R24" s="37">
        <v>0.1</v>
      </c>
      <c r="S24" s="37">
        <v>-0.1</v>
      </c>
      <c r="T24" s="37">
        <v>-0.1</v>
      </c>
      <c r="U24" s="37">
        <v>-0.1</v>
      </c>
      <c r="V24" s="37">
        <v>0.05</v>
      </c>
      <c r="W24" s="37">
        <v>0.05</v>
      </c>
      <c r="X24" s="37">
        <v>0.05</v>
      </c>
      <c r="Y24" s="37">
        <v>0.35</v>
      </c>
      <c r="Z24" s="37">
        <v>0</v>
      </c>
      <c r="AA24" s="37">
        <v>0</v>
      </c>
      <c r="AB24" s="37">
        <v>1</v>
      </c>
      <c r="AC24" s="37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</row>
    <row r="25" spans="2:45">
      <c r="B25" s="35" t="s">
        <v>21</v>
      </c>
      <c r="C25" s="35" t="s">
        <v>157</v>
      </c>
      <c r="E25" s="38">
        <v>1.4999999999999999E-2</v>
      </c>
      <c r="F25" s="38">
        <v>3.1200000000000002E-2</v>
      </c>
      <c r="G25" s="38">
        <v>0.18</v>
      </c>
      <c r="I25" s="69" t="s">
        <v>157</v>
      </c>
      <c r="J25" s="37">
        <v>0.35</v>
      </c>
      <c r="K25" s="37">
        <v>0.5</v>
      </c>
      <c r="L25" s="37">
        <v>0.55000000000000004</v>
      </c>
      <c r="M25" s="37">
        <v>0.45</v>
      </c>
      <c r="N25" s="37">
        <v>0.05</v>
      </c>
      <c r="O25" s="37">
        <v>0.25</v>
      </c>
      <c r="P25" s="37">
        <v>0.05</v>
      </c>
      <c r="Q25" s="37">
        <v>-0.1</v>
      </c>
      <c r="R25" s="37">
        <v>0.35</v>
      </c>
      <c r="S25" s="37">
        <v>0.35</v>
      </c>
      <c r="T25" s="37">
        <v>0.3</v>
      </c>
      <c r="U25" s="37">
        <v>0.35</v>
      </c>
      <c r="V25" s="37">
        <v>0.1</v>
      </c>
      <c r="W25" s="37">
        <v>0.25</v>
      </c>
      <c r="X25" s="37">
        <v>0.1</v>
      </c>
      <c r="Y25" s="37">
        <v>0.2</v>
      </c>
      <c r="Z25" s="37">
        <v>0.6</v>
      </c>
      <c r="AA25" s="37">
        <v>0.2</v>
      </c>
      <c r="AB25" s="37">
        <v>0</v>
      </c>
      <c r="AC25" s="37">
        <v>1</v>
      </c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</row>
    <row r="26" spans="2:45">
      <c r="B26" s="35" t="s">
        <v>21</v>
      </c>
      <c r="C26" s="35" t="s">
        <v>25</v>
      </c>
      <c r="E26" s="38">
        <v>7.2499999999999995E-2</v>
      </c>
      <c r="F26" s="38">
        <v>7.9699999999999993E-2</v>
      </c>
      <c r="G26" s="38">
        <v>0.12</v>
      </c>
      <c r="I26" s="69" t="s">
        <v>25</v>
      </c>
      <c r="J26" s="37">
        <v>0.7</v>
      </c>
      <c r="K26" s="37">
        <v>0.65</v>
      </c>
      <c r="L26" s="37">
        <v>0.55000000000000004</v>
      </c>
      <c r="M26" s="37">
        <v>0.5</v>
      </c>
      <c r="N26" s="37">
        <v>0</v>
      </c>
      <c r="O26" s="37">
        <v>0.1</v>
      </c>
      <c r="P26" s="37">
        <v>0</v>
      </c>
      <c r="Q26" s="37">
        <v>0</v>
      </c>
      <c r="R26" s="37">
        <v>0.4</v>
      </c>
      <c r="S26" s="37">
        <v>0.6</v>
      </c>
      <c r="T26" s="37">
        <v>0.6</v>
      </c>
      <c r="U26" s="37">
        <v>0.25</v>
      </c>
      <c r="V26" s="37">
        <v>0.7</v>
      </c>
      <c r="W26" s="37">
        <v>0.6</v>
      </c>
      <c r="X26" s="37">
        <v>0.6</v>
      </c>
      <c r="Y26" s="37">
        <v>0.65</v>
      </c>
      <c r="Z26" s="37">
        <v>0.5</v>
      </c>
      <c r="AA26" s="37">
        <v>0.8</v>
      </c>
      <c r="AB26" s="37">
        <v>0</v>
      </c>
      <c r="AC26" s="37">
        <v>0.2</v>
      </c>
      <c r="AD26" s="68">
        <v>1</v>
      </c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</row>
    <row r="27" spans="2:45">
      <c r="B27" s="35" t="s">
        <v>21</v>
      </c>
      <c r="C27" s="35" t="s">
        <v>158</v>
      </c>
      <c r="E27" s="38">
        <v>6.4500000000000002E-2</v>
      </c>
      <c r="F27" s="38">
        <v>9.3299999999999994E-2</v>
      </c>
      <c r="G27" s="38">
        <v>0.24</v>
      </c>
      <c r="I27" s="69" t="s">
        <v>158</v>
      </c>
      <c r="J27" s="37">
        <v>0.5</v>
      </c>
      <c r="K27" s="37">
        <v>0.5</v>
      </c>
      <c r="L27" s="37">
        <v>0.54</v>
      </c>
      <c r="M27" s="37">
        <v>0.51</v>
      </c>
      <c r="N27" s="37">
        <v>-0.05</v>
      </c>
      <c r="O27" s="37">
        <v>0.2</v>
      </c>
      <c r="P27" s="37">
        <v>-0.2</v>
      </c>
      <c r="Q27" s="37">
        <v>0</v>
      </c>
      <c r="R27" s="37">
        <v>0.15</v>
      </c>
      <c r="S27" s="37">
        <v>0.65</v>
      </c>
      <c r="T27" s="37">
        <v>0.65</v>
      </c>
      <c r="U27" s="37">
        <v>0.4</v>
      </c>
      <c r="V27" s="37">
        <v>0.35</v>
      </c>
      <c r="W27" s="37">
        <v>0.35</v>
      </c>
      <c r="X27" s="37">
        <v>0.35</v>
      </c>
      <c r="Y27" s="37">
        <v>0.5</v>
      </c>
      <c r="Z27" s="37">
        <v>0.6</v>
      </c>
      <c r="AA27" s="37">
        <v>0.8</v>
      </c>
      <c r="AB27" s="37">
        <v>0</v>
      </c>
      <c r="AC27" s="37">
        <v>0.4</v>
      </c>
      <c r="AD27" s="68">
        <v>0.4</v>
      </c>
      <c r="AE27" s="68">
        <v>1</v>
      </c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</row>
    <row r="28" spans="2:45">
      <c r="B28" s="35" t="s">
        <v>21</v>
      </c>
      <c r="C28" s="35" t="s">
        <v>131</v>
      </c>
      <c r="E28" s="38">
        <v>6.4500000000000002E-2</v>
      </c>
      <c r="F28" s="38">
        <v>6.5299999999999997E-2</v>
      </c>
      <c r="G28" s="38">
        <v>0.04</v>
      </c>
      <c r="I28" s="69" t="s">
        <v>131</v>
      </c>
      <c r="J28" s="37">
        <v>0.65</v>
      </c>
      <c r="K28" s="37">
        <v>0.6</v>
      </c>
      <c r="L28" s="37">
        <v>0.6</v>
      </c>
      <c r="M28" s="37">
        <v>0.6</v>
      </c>
      <c r="N28" s="37">
        <v>0.19</v>
      </c>
      <c r="O28" s="37">
        <v>0.5</v>
      </c>
      <c r="P28" s="37">
        <v>-0.15</v>
      </c>
      <c r="Q28" s="37">
        <v>-0.15</v>
      </c>
      <c r="R28" s="37">
        <v>0.3</v>
      </c>
      <c r="S28" s="37">
        <v>0.8</v>
      </c>
      <c r="T28" s="37">
        <v>0.8</v>
      </c>
      <c r="U28" s="37">
        <v>0.7</v>
      </c>
      <c r="V28" s="37">
        <v>0.65</v>
      </c>
      <c r="W28" s="37">
        <v>0.65</v>
      </c>
      <c r="X28" s="37">
        <v>0.7</v>
      </c>
      <c r="Y28" s="37">
        <v>0.8</v>
      </c>
      <c r="Z28" s="37">
        <v>0.7</v>
      </c>
      <c r="AA28" s="37">
        <v>0</v>
      </c>
      <c r="AB28" s="37">
        <v>-0.1</v>
      </c>
      <c r="AC28" s="37">
        <v>0.35</v>
      </c>
      <c r="AD28" s="68">
        <v>0.6</v>
      </c>
      <c r="AE28" s="68">
        <v>0.65</v>
      </c>
      <c r="AF28" s="68">
        <v>1</v>
      </c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</row>
    <row r="29" spans="2:45">
      <c r="B29" s="35" t="s">
        <v>21</v>
      </c>
      <c r="C29" s="35" t="s">
        <v>159</v>
      </c>
      <c r="E29" s="38">
        <v>8.8499999999999995E-2</v>
      </c>
      <c r="F29" s="38">
        <v>9.1700000000000004E-2</v>
      </c>
      <c r="G29" s="38">
        <v>0.08</v>
      </c>
      <c r="I29" s="69" t="s">
        <v>159</v>
      </c>
      <c r="J29" s="37">
        <v>0.65</v>
      </c>
      <c r="K29" s="37">
        <v>0.6</v>
      </c>
      <c r="L29" s="37">
        <v>0.6</v>
      </c>
      <c r="M29" s="37">
        <v>0.6</v>
      </c>
      <c r="N29" s="37">
        <v>0.19</v>
      </c>
      <c r="O29" s="37">
        <v>0.5</v>
      </c>
      <c r="P29" s="37">
        <v>-0.15</v>
      </c>
      <c r="Q29" s="37">
        <v>-0.15</v>
      </c>
      <c r="R29" s="37">
        <v>0.3</v>
      </c>
      <c r="S29" s="37">
        <v>0.8</v>
      </c>
      <c r="T29" s="37">
        <v>0.8</v>
      </c>
      <c r="U29" s="37">
        <v>0.7</v>
      </c>
      <c r="V29" s="37">
        <v>0.65</v>
      </c>
      <c r="W29" s="37">
        <v>0.65</v>
      </c>
      <c r="X29" s="37">
        <v>0.7</v>
      </c>
      <c r="Y29" s="37">
        <v>0.8</v>
      </c>
      <c r="Z29" s="37">
        <v>0.7</v>
      </c>
      <c r="AA29" s="37">
        <v>0</v>
      </c>
      <c r="AB29" s="37">
        <v>-0.1</v>
      </c>
      <c r="AC29" s="37">
        <v>0.35</v>
      </c>
      <c r="AD29" s="68">
        <v>0.6</v>
      </c>
      <c r="AE29" s="68">
        <v>0.65</v>
      </c>
      <c r="AF29" s="68">
        <v>0.97</v>
      </c>
      <c r="AG29" s="68">
        <v>1</v>
      </c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</row>
    <row r="30" spans="2:45">
      <c r="B30" s="35" t="s">
        <v>21</v>
      </c>
      <c r="C30" s="35" t="s">
        <v>160</v>
      </c>
      <c r="E30" s="38">
        <v>7.0499999999999993E-2</v>
      </c>
      <c r="F30" s="38">
        <v>9.0500000000000011E-2</v>
      </c>
      <c r="G30" s="38">
        <v>0.2</v>
      </c>
      <c r="I30" s="69" t="s">
        <v>160</v>
      </c>
      <c r="J30" s="37">
        <v>0.8</v>
      </c>
      <c r="K30" s="37">
        <v>0.75</v>
      </c>
      <c r="L30" s="37">
        <v>0.7</v>
      </c>
      <c r="M30" s="37">
        <v>0.8</v>
      </c>
      <c r="N30" s="37">
        <v>0</v>
      </c>
      <c r="O30" s="37">
        <v>0.3</v>
      </c>
      <c r="P30" s="37">
        <v>-0.1</v>
      </c>
      <c r="Q30" s="37">
        <v>0</v>
      </c>
      <c r="R30" s="37">
        <v>0.1</v>
      </c>
      <c r="S30" s="37">
        <v>0.75</v>
      </c>
      <c r="T30" s="37">
        <v>0.5</v>
      </c>
      <c r="U30" s="37">
        <v>0.4</v>
      </c>
      <c r="V30" s="37">
        <v>0.7</v>
      </c>
      <c r="W30" s="37">
        <v>0.7</v>
      </c>
      <c r="X30" s="37">
        <v>0.7</v>
      </c>
      <c r="Y30" s="37">
        <v>0.8</v>
      </c>
      <c r="Z30" s="37">
        <v>0.75</v>
      </c>
      <c r="AA30" s="37">
        <v>0</v>
      </c>
      <c r="AB30" s="37">
        <v>-0.1</v>
      </c>
      <c r="AC30" s="37">
        <v>0.35</v>
      </c>
      <c r="AD30" s="68">
        <v>0.6</v>
      </c>
      <c r="AE30" s="68">
        <v>0.6</v>
      </c>
      <c r="AF30" s="68">
        <v>0.9</v>
      </c>
      <c r="AG30" s="68">
        <v>0.9</v>
      </c>
      <c r="AH30" s="68">
        <v>1</v>
      </c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</row>
    <row r="31" spans="2:45">
      <c r="B31" s="35" t="s">
        <v>21</v>
      </c>
      <c r="C31" s="35" t="s">
        <v>161</v>
      </c>
      <c r="E31" s="38">
        <v>8.900000000000001E-2</v>
      </c>
      <c r="F31" s="38">
        <v>0.109</v>
      </c>
      <c r="G31" s="38">
        <v>0.2</v>
      </c>
      <c r="I31" s="69" t="s">
        <v>161</v>
      </c>
      <c r="J31" s="37">
        <v>0.8</v>
      </c>
      <c r="K31" s="37">
        <v>0.7</v>
      </c>
      <c r="L31" s="37">
        <v>0.6</v>
      </c>
      <c r="M31" s="37">
        <v>0.7</v>
      </c>
      <c r="N31" s="37">
        <v>0</v>
      </c>
      <c r="O31" s="37">
        <v>0.25</v>
      </c>
      <c r="P31" s="37">
        <v>-0.2</v>
      </c>
      <c r="Q31" s="37">
        <v>0</v>
      </c>
      <c r="R31" s="37">
        <v>0</v>
      </c>
      <c r="S31" s="37">
        <v>0.65</v>
      </c>
      <c r="T31" s="37">
        <v>0.5</v>
      </c>
      <c r="U31" s="37">
        <v>0.25</v>
      </c>
      <c r="V31" s="37">
        <v>0.7</v>
      </c>
      <c r="W31" s="37">
        <v>0.6</v>
      </c>
      <c r="X31" s="37">
        <v>0.6</v>
      </c>
      <c r="Y31" s="37">
        <v>0.9</v>
      </c>
      <c r="Z31" s="37">
        <v>0.3</v>
      </c>
      <c r="AA31" s="37">
        <v>0.8</v>
      </c>
      <c r="AB31" s="37">
        <v>0</v>
      </c>
      <c r="AC31" s="37">
        <v>0.2</v>
      </c>
      <c r="AD31" s="68">
        <v>0.65</v>
      </c>
      <c r="AE31" s="68">
        <v>0.5</v>
      </c>
      <c r="AF31" s="68">
        <v>0.8</v>
      </c>
      <c r="AG31" s="68">
        <v>0.8</v>
      </c>
      <c r="AH31" s="68">
        <v>0.8</v>
      </c>
      <c r="AI31" s="68">
        <v>1</v>
      </c>
      <c r="AJ31" s="68"/>
      <c r="AK31" s="68"/>
      <c r="AL31" s="68"/>
      <c r="AM31" s="68"/>
      <c r="AN31" s="68"/>
      <c r="AO31" s="68"/>
      <c r="AP31" s="68"/>
      <c r="AQ31" s="68"/>
      <c r="AR31" s="68"/>
      <c r="AS31" s="68"/>
    </row>
    <row r="32" spans="2:45">
      <c r="B32" s="35" t="s">
        <v>21</v>
      </c>
      <c r="C32" s="35" t="s">
        <v>162</v>
      </c>
      <c r="E32" s="38">
        <v>0.11349999999999999</v>
      </c>
      <c r="F32" s="38">
        <v>0.1585</v>
      </c>
      <c r="G32" s="38">
        <v>0.3</v>
      </c>
      <c r="I32" s="69" t="s">
        <v>162</v>
      </c>
      <c r="J32" s="37">
        <v>0.8</v>
      </c>
      <c r="K32" s="37">
        <v>0.7</v>
      </c>
      <c r="L32" s="37">
        <v>0.6</v>
      </c>
      <c r="M32" s="37">
        <v>0.7</v>
      </c>
      <c r="N32" s="37">
        <v>0</v>
      </c>
      <c r="O32" s="37">
        <v>0.25</v>
      </c>
      <c r="P32" s="37">
        <v>-0.2</v>
      </c>
      <c r="Q32" s="37">
        <v>0</v>
      </c>
      <c r="R32" s="37">
        <v>0</v>
      </c>
      <c r="S32" s="37">
        <v>0.65</v>
      </c>
      <c r="T32" s="37">
        <v>0.5</v>
      </c>
      <c r="U32" s="37">
        <v>0.25</v>
      </c>
      <c r="V32" s="37">
        <v>0.7</v>
      </c>
      <c r="W32" s="37">
        <v>0.6</v>
      </c>
      <c r="X32" s="37">
        <v>0.6</v>
      </c>
      <c r="Y32" s="37">
        <v>0.9</v>
      </c>
      <c r="Z32" s="37">
        <v>0.3</v>
      </c>
      <c r="AA32" s="37">
        <v>0.8</v>
      </c>
      <c r="AB32" s="37">
        <v>0</v>
      </c>
      <c r="AC32" s="37">
        <v>0.2</v>
      </c>
      <c r="AD32" s="68">
        <v>0.65</v>
      </c>
      <c r="AE32" s="68">
        <v>0.5</v>
      </c>
      <c r="AF32" s="68">
        <v>0.8</v>
      </c>
      <c r="AG32" s="68">
        <v>0.8</v>
      </c>
      <c r="AH32" s="68">
        <v>0.8</v>
      </c>
      <c r="AI32" s="68">
        <v>0.8</v>
      </c>
      <c r="AJ32" s="68">
        <v>1</v>
      </c>
      <c r="AK32" s="68"/>
      <c r="AL32" s="68"/>
      <c r="AM32" s="68"/>
      <c r="AN32" s="68"/>
      <c r="AO32" s="68"/>
      <c r="AP32" s="68"/>
      <c r="AQ32" s="68"/>
      <c r="AR32" s="68"/>
      <c r="AS32" s="68"/>
    </row>
    <row r="33" spans="2:47">
      <c r="B33" s="35" t="s">
        <v>21</v>
      </c>
      <c r="C33" s="35" t="s">
        <v>163</v>
      </c>
      <c r="E33" s="38">
        <v>4.9800000000000004E-2</v>
      </c>
      <c r="F33" s="38">
        <v>5.1799999999999999E-2</v>
      </c>
      <c r="G33" s="38">
        <v>6.4000000000000001E-2</v>
      </c>
      <c r="I33" s="69" t="s">
        <v>163</v>
      </c>
      <c r="J33" s="37">
        <v>0.81</v>
      </c>
      <c r="K33" s="37">
        <v>0.81</v>
      </c>
      <c r="L33" s="37">
        <v>0.81</v>
      </c>
      <c r="M33" s="37">
        <v>0.81</v>
      </c>
      <c r="N33" s="37">
        <v>0</v>
      </c>
      <c r="O33" s="37">
        <v>0.45</v>
      </c>
      <c r="P33" s="37">
        <v>-0.32</v>
      </c>
      <c r="Q33" s="37">
        <v>0</v>
      </c>
      <c r="R33" s="37">
        <v>-0.1</v>
      </c>
      <c r="S33" s="37">
        <v>0.56999999999999995</v>
      </c>
      <c r="T33" s="37">
        <v>0.56999999999999995</v>
      </c>
      <c r="U33" s="37">
        <v>0.47</v>
      </c>
      <c r="V33" s="37">
        <v>0.4</v>
      </c>
      <c r="W33" s="37">
        <v>0.32</v>
      </c>
      <c r="X33" s="37">
        <v>0.32</v>
      </c>
      <c r="Y33" s="37">
        <v>0.67</v>
      </c>
      <c r="Z33" s="37">
        <v>0.77</v>
      </c>
      <c r="AA33" s="37">
        <v>0.72</v>
      </c>
      <c r="AB33" s="37">
        <v>0</v>
      </c>
      <c r="AC33" s="37">
        <v>0.53</v>
      </c>
      <c r="AD33" s="68">
        <v>0.47</v>
      </c>
      <c r="AE33" s="68">
        <v>0.32</v>
      </c>
      <c r="AF33" s="68">
        <v>0.56999999999999995</v>
      </c>
      <c r="AG33" s="68">
        <v>0.56999999999999995</v>
      </c>
      <c r="AH33" s="68">
        <v>0.71</v>
      </c>
      <c r="AI33" s="68">
        <v>0.67</v>
      </c>
      <c r="AJ33" s="68">
        <v>0.67</v>
      </c>
      <c r="AK33" s="68">
        <v>1</v>
      </c>
      <c r="AL33" s="68"/>
      <c r="AM33" s="68"/>
      <c r="AN33" s="68"/>
      <c r="AO33" s="68"/>
      <c r="AP33" s="68"/>
      <c r="AQ33" s="68"/>
      <c r="AR33" s="68"/>
      <c r="AS33" s="68"/>
    </row>
    <row r="34" spans="2:47">
      <c r="B34" s="35" t="s">
        <v>21</v>
      </c>
      <c r="C34" s="35" t="s">
        <v>164</v>
      </c>
      <c r="E34" s="38">
        <v>3.3500000000000002E-2</v>
      </c>
      <c r="F34" s="38">
        <v>3.1E-2</v>
      </c>
      <c r="G34" s="38">
        <v>3.3399999999999999E-2</v>
      </c>
      <c r="I34" s="69" t="s">
        <v>164</v>
      </c>
      <c r="J34" s="37">
        <v>0.42</v>
      </c>
      <c r="K34" s="37">
        <v>0.42</v>
      </c>
      <c r="L34" s="37">
        <v>0.42</v>
      </c>
      <c r="M34" s="37">
        <v>0.42</v>
      </c>
      <c r="N34" s="37">
        <v>0</v>
      </c>
      <c r="O34" s="37">
        <v>0.3</v>
      </c>
      <c r="P34" s="37">
        <v>-0.14000000000000001</v>
      </c>
      <c r="Q34" s="37">
        <v>0.1</v>
      </c>
      <c r="R34" s="37">
        <v>-0.02</v>
      </c>
      <c r="S34" s="37">
        <v>0.35</v>
      </c>
      <c r="T34" s="37">
        <v>0.35</v>
      </c>
      <c r="U34" s="37">
        <v>0.25</v>
      </c>
      <c r="V34" s="37">
        <v>0.22</v>
      </c>
      <c r="W34" s="37">
        <v>0.22</v>
      </c>
      <c r="X34" s="37">
        <v>0.22</v>
      </c>
      <c r="Y34" s="37">
        <v>0.2</v>
      </c>
      <c r="Z34" s="37">
        <v>0.71</v>
      </c>
      <c r="AA34" s="37">
        <v>0.35</v>
      </c>
      <c r="AB34" s="37">
        <v>0</v>
      </c>
      <c r="AC34" s="37">
        <v>0.35</v>
      </c>
      <c r="AD34" s="68">
        <v>0.33</v>
      </c>
      <c r="AE34" s="68">
        <v>0.22</v>
      </c>
      <c r="AF34" s="68">
        <v>0.35</v>
      </c>
      <c r="AG34" s="68">
        <v>0.35</v>
      </c>
      <c r="AH34" s="68">
        <v>0.38</v>
      </c>
      <c r="AI34" s="68">
        <v>0.2</v>
      </c>
      <c r="AJ34" s="68">
        <v>0.2</v>
      </c>
      <c r="AK34" s="68">
        <v>0.59</v>
      </c>
      <c r="AL34" s="68">
        <v>1</v>
      </c>
      <c r="AM34" s="68"/>
      <c r="AN34" s="68"/>
      <c r="AO34" s="68"/>
      <c r="AP34" s="68"/>
      <c r="AQ34" s="68"/>
      <c r="AR34" s="68"/>
      <c r="AS34" s="68"/>
    </row>
    <row r="35" spans="2:47">
      <c r="B35" s="35" t="s">
        <v>21</v>
      </c>
      <c r="C35" s="35" t="s">
        <v>165</v>
      </c>
      <c r="E35" s="38">
        <v>2.5499999999999998E-2</v>
      </c>
      <c r="F35" s="38">
        <v>2.6200000000000001E-2</v>
      </c>
      <c r="G35" s="38">
        <v>3.6299999999999999E-2</v>
      </c>
      <c r="I35" s="69" t="s">
        <v>165</v>
      </c>
      <c r="J35" s="37">
        <v>0.4</v>
      </c>
      <c r="K35" s="37">
        <v>0.4</v>
      </c>
      <c r="L35" s="37">
        <v>0.4</v>
      </c>
      <c r="M35" s="37">
        <v>0.4</v>
      </c>
      <c r="N35" s="37">
        <v>0</v>
      </c>
      <c r="O35" s="37">
        <v>0.2</v>
      </c>
      <c r="P35" s="37">
        <v>-0.1</v>
      </c>
      <c r="Q35" s="37">
        <v>0</v>
      </c>
      <c r="R35" s="37">
        <v>0</v>
      </c>
      <c r="S35" s="37">
        <v>0.2</v>
      </c>
      <c r="T35" s="37">
        <v>0.2</v>
      </c>
      <c r="U35" s="37">
        <v>0.1</v>
      </c>
      <c r="V35" s="37">
        <v>0.3</v>
      </c>
      <c r="W35" s="37">
        <v>0.3</v>
      </c>
      <c r="X35" s="37">
        <v>0.3</v>
      </c>
      <c r="Y35" s="37">
        <v>0</v>
      </c>
      <c r="Z35" s="37">
        <v>0.5</v>
      </c>
      <c r="AA35" s="37">
        <v>0.3</v>
      </c>
      <c r="AB35" s="37">
        <v>0</v>
      </c>
      <c r="AC35" s="37">
        <v>0.3</v>
      </c>
      <c r="AD35" s="68">
        <v>0.3</v>
      </c>
      <c r="AE35" s="68">
        <v>0.3</v>
      </c>
      <c r="AF35" s="68">
        <v>0.2</v>
      </c>
      <c r="AG35" s="68">
        <v>0.2</v>
      </c>
      <c r="AH35" s="68">
        <v>0.4</v>
      </c>
      <c r="AI35" s="68">
        <v>0</v>
      </c>
      <c r="AJ35" s="68">
        <v>0</v>
      </c>
      <c r="AK35" s="68">
        <v>0.09</v>
      </c>
      <c r="AL35" s="68">
        <v>0.65</v>
      </c>
      <c r="AM35" s="68">
        <v>1</v>
      </c>
      <c r="AN35" s="68"/>
      <c r="AO35" s="68"/>
      <c r="AP35" s="68"/>
      <c r="AQ35" s="68"/>
      <c r="AR35" s="68"/>
      <c r="AS35" s="68"/>
    </row>
    <row r="36" spans="2:47">
      <c r="B36" s="35" t="s">
        <v>21</v>
      </c>
      <c r="C36" s="35" t="s">
        <v>166</v>
      </c>
      <c r="E36" s="38">
        <v>4.3700000000000003E-2</v>
      </c>
      <c r="F36" s="38">
        <v>4.5400000000000003E-2</v>
      </c>
      <c r="G36" s="38">
        <v>5.8600000000000006E-2</v>
      </c>
      <c r="I36" s="69" t="s">
        <v>166</v>
      </c>
      <c r="J36" s="37">
        <v>0.6</v>
      </c>
      <c r="K36" s="37">
        <v>0.6</v>
      </c>
      <c r="L36" s="37">
        <v>0.6</v>
      </c>
      <c r="M36" s="37">
        <v>0.6</v>
      </c>
      <c r="N36" s="37">
        <v>0</v>
      </c>
      <c r="O36" s="37">
        <v>0.5</v>
      </c>
      <c r="P36" s="37">
        <v>-0.3</v>
      </c>
      <c r="Q36" s="37">
        <v>0</v>
      </c>
      <c r="R36" s="37">
        <v>-0.1</v>
      </c>
      <c r="S36" s="37">
        <v>0.8</v>
      </c>
      <c r="T36" s="37">
        <v>0.8</v>
      </c>
      <c r="U36" s="37">
        <v>0.6</v>
      </c>
      <c r="V36" s="37">
        <v>0.3</v>
      </c>
      <c r="W36" s="37">
        <v>0.3</v>
      </c>
      <c r="X36" s="37">
        <v>0.3</v>
      </c>
      <c r="Y36" s="37">
        <v>0.5</v>
      </c>
      <c r="Z36" s="37">
        <v>0.7</v>
      </c>
      <c r="AA36" s="37">
        <v>0.6</v>
      </c>
      <c r="AB36" s="37">
        <v>0</v>
      </c>
      <c r="AC36" s="37">
        <v>0.6</v>
      </c>
      <c r="AD36" s="68">
        <v>0.6</v>
      </c>
      <c r="AE36" s="68">
        <v>0.3</v>
      </c>
      <c r="AF36" s="68">
        <v>0.8</v>
      </c>
      <c r="AG36" s="68">
        <v>0.8</v>
      </c>
      <c r="AH36" s="68">
        <v>0.5</v>
      </c>
      <c r="AI36" s="68">
        <v>0.5</v>
      </c>
      <c r="AJ36" s="68">
        <v>0.5</v>
      </c>
      <c r="AK36" s="68">
        <v>0.84</v>
      </c>
      <c r="AL36" s="68">
        <v>0.59</v>
      </c>
      <c r="AM36" s="68">
        <v>0.26</v>
      </c>
      <c r="AN36" s="68">
        <v>1</v>
      </c>
      <c r="AO36" s="68"/>
      <c r="AP36" s="68"/>
      <c r="AQ36" s="68"/>
      <c r="AR36" s="68"/>
      <c r="AS36" s="68"/>
    </row>
    <row r="37" spans="2:47">
      <c r="B37" s="35" t="s">
        <v>21</v>
      </c>
      <c r="C37" s="35" t="s">
        <v>167</v>
      </c>
      <c r="E37" s="38">
        <v>5.2000000000000005E-2</v>
      </c>
      <c r="F37" s="38">
        <v>5.4600000000000003E-2</v>
      </c>
      <c r="G37" s="38">
        <v>7.2599999999999998E-2</v>
      </c>
      <c r="I37" s="69" t="s">
        <v>167</v>
      </c>
      <c r="J37" s="37">
        <v>0.75</v>
      </c>
      <c r="K37" s="37">
        <v>0.75</v>
      </c>
      <c r="L37" s="37">
        <v>0.75</v>
      </c>
      <c r="M37" s="37">
        <v>0.75</v>
      </c>
      <c r="N37" s="37">
        <v>0</v>
      </c>
      <c r="O37" s="37">
        <v>0.4</v>
      </c>
      <c r="P37" s="37">
        <v>-0.3</v>
      </c>
      <c r="Q37" s="37">
        <v>0</v>
      </c>
      <c r="R37" s="37">
        <v>-0.1</v>
      </c>
      <c r="S37" s="37">
        <v>0.6</v>
      </c>
      <c r="T37" s="37">
        <v>0.6</v>
      </c>
      <c r="U37" s="37">
        <v>0.4</v>
      </c>
      <c r="V37" s="37">
        <v>0.4</v>
      </c>
      <c r="W37" s="37">
        <v>0.3</v>
      </c>
      <c r="X37" s="37">
        <v>0.3</v>
      </c>
      <c r="Y37" s="37">
        <v>0.6</v>
      </c>
      <c r="Z37" s="37">
        <v>0.8</v>
      </c>
      <c r="AA37" s="37">
        <v>0.8</v>
      </c>
      <c r="AB37" s="37">
        <v>0</v>
      </c>
      <c r="AC37" s="37">
        <v>0.6</v>
      </c>
      <c r="AD37" s="68">
        <v>0.4</v>
      </c>
      <c r="AE37" s="68">
        <v>0.3</v>
      </c>
      <c r="AF37" s="68">
        <v>0.6</v>
      </c>
      <c r="AG37" s="68">
        <v>0.6</v>
      </c>
      <c r="AH37" s="68">
        <v>0.65</v>
      </c>
      <c r="AI37" s="68">
        <v>0.6</v>
      </c>
      <c r="AJ37" s="68">
        <v>0.6</v>
      </c>
      <c r="AK37" s="68">
        <v>0.94</v>
      </c>
      <c r="AL37" s="68">
        <v>0.52</v>
      </c>
      <c r="AM37" s="68">
        <v>0.1</v>
      </c>
      <c r="AN37" s="68">
        <v>0.76</v>
      </c>
      <c r="AO37" s="68">
        <v>1</v>
      </c>
      <c r="AP37" s="68"/>
      <c r="AQ37" s="68"/>
      <c r="AR37" s="68"/>
      <c r="AS37" s="68"/>
    </row>
    <row r="38" spans="2:47">
      <c r="B38" s="35" t="s">
        <v>21</v>
      </c>
      <c r="C38" s="35" t="s">
        <v>168</v>
      </c>
      <c r="E38" s="38">
        <v>5.3099999999999994E-2</v>
      </c>
      <c r="F38" s="38">
        <v>5.5999999999999994E-2</v>
      </c>
      <c r="G38" s="38">
        <v>7.6399999999999996E-2</v>
      </c>
      <c r="I38" s="69" t="s">
        <v>168</v>
      </c>
      <c r="J38" s="37">
        <v>0.85</v>
      </c>
      <c r="K38" s="37">
        <v>0.85</v>
      </c>
      <c r="L38" s="37">
        <v>0.85</v>
      </c>
      <c r="M38" s="37">
        <v>0.85</v>
      </c>
      <c r="N38" s="37">
        <v>0</v>
      </c>
      <c r="O38" s="37">
        <v>0.4</v>
      </c>
      <c r="P38" s="37">
        <v>-0.3</v>
      </c>
      <c r="Q38" s="37">
        <v>0</v>
      </c>
      <c r="R38" s="37">
        <v>-0.1</v>
      </c>
      <c r="S38" s="37">
        <v>0.4</v>
      </c>
      <c r="T38" s="37">
        <v>0.4</v>
      </c>
      <c r="U38" s="37">
        <v>0.4</v>
      </c>
      <c r="V38" s="37">
        <v>0.4</v>
      </c>
      <c r="W38" s="37">
        <v>0.3</v>
      </c>
      <c r="X38" s="37">
        <v>0.3</v>
      </c>
      <c r="Y38" s="37">
        <v>0.7</v>
      </c>
      <c r="Z38" s="37">
        <v>0.7</v>
      </c>
      <c r="AA38" s="37">
        <v>0.65</v>
      </c>
      <c r="AB38" s="37">
        <v>0</v>
      </c>
      <c r="AC38" s="37">
        <v>0.4</v>
      </c>
      <c r="AD38" s="68">
        <v>0.4</v>
      </c>
      <c r="AE38" s="68">
        <v>0.3</v>
      </c>
      <c r="AF38" s="68">
        <v>0.4</v>
      </c>
      <c r="AG38" s="68">
        <v>0.4</v>
      </c>
      <c r="AH38" s="68">
        <v>0.75</v>
      </c>
      <c r="AI38" s="68">
        <v>0.7</v>
      </c>
      <c r="AJ38" s="68">
        <v>0.7</v>
      </c>
      <c r="AK38" s="68">
        <v>0.96</v>
      </c>
      <c r="AL38" s="68">
        <v>0.53</v>
      </c>
      <c r="AM38" s="68">
        <v>0</v>
      </c>
      <c r="AN38" s="68">
        <v>0.71</v>
      </c>
      <c r="AO38" s="68">
        <v>0.85</v>
      </c>
      <c r="AP38" s="68">
        <v>1</v>
      </c>
      <c r="AQ38" s="68"/>
      <c r="AR38" s="68"/>
      <c r="AS38" s="68"/>
    </row>
    <row r="39" spans="2:47">
      <c r="B39" s="35" t="s">
        <v>21</v>
      </c>
      <c r="C39" s="35" t="s">
        <v>169</v>
      </c>
      <c r="E39" s="38">
        <v>3.9E-2</v>
      </c>
      <c r="F39" s="38">
        <v>4.0199999999999993E-2</v>
      </c>
      <c r="G39" s="38">
        <v>4.8399999999999999E-2</v>
      </c>
      <c r="I39" s="69" t="s">
        <v>169</v>
      </c>
      <c r="J39" s="37">
        <v>0.1</v>
      </c>
      <c r="K39" s="37">
        <v>0.1</v>
      </c>
      <c r="L39" s="37">
        <v>0.1</v>
      </c>
      <c r="M39" s="37">
        <v>0.1</v>
      </c>
      <c r="N39" s="37">
        <v>0</v>
      </c>
      <c r="O39" s="37">
        <v>0.1</v>
      </c>
      <c r="P39" s="37">
        <v>0</v>
      </c>
      <c r="Q39" s="37">
        <v>0.15</v>
      </c>
      <c r="R39" s="37">
        <v>0</v>
      </c>
      <c r="S39" s="37">
        <v>0</v>
      </c>
      <c r="T39" s="37">
        <v>0</v>
      </c>
      <c r="U39" s="37">
        <v>0</v>
      </c>
      <c r="V39" s="37">
        <v>0</v>
      </c>
      <c r="W39" s="37">
        <v>0</v>
      </c>
      <c r="X39" s="37">
        <v>0</v>
      </c>
      <c r="Y39" s="37">
        <v>0</v>
      </c>
      <c r="Z39" s="37">
        <v>0.4</v>
      </c>
      <c r="AA39" s="37">
        <v>0</v>
      </c>
      <c r="AB39" s="37">
        <v>0</v>
      </c>
      <c r="AC39" s="37">
        <v>0</v>
      </c>
      <c r="AD39" s="68">
        <v>0</v>
      </c>
      <c r="AE39" s="68">
        <v>0</v>
      </c>
      <c r="AF39" s="68">
        <v>0</v>
      </c>
      <c r="AG39" s="68">
        <v>0</v>
      </c>
      <c r="AH39" s="68">
        <v>0.1</v>
      </c>
      <c r="AI39" s="68">
        <v>0</v>
      </c>
      <c r="AJ39" s="68">
        <v>0</v>
      </c>
      <c r="AK39" s="68">
        <v>0.45</v>
      </c>
      <c r="AL39" s="68">
        <v>0.8</v>
      </c>
      <c r="AM39" s="68">
        <v>0.4</v>
      </c>
      <c r="AN39" s="68">
        <v>0.3</v>
      </c>
      <c r="AO39" s="68">
        <v>0.42</v>
      </c>
      <c r="AP39" s="68">
        <v>0.42</v>
      </c>
      <c r="AQ39" s="68">
        <v>1</v>
      </c>
      <c r="AR39" s="68"/>
      <c r="AS39" s="68"/>
    </row>
    <row r="40" spans="2:47">
      <c r="B40" s="35" t="s">
        <v>21</v>
      </c>
      <c r="C40" s="35" t="s">
        <v>170</v>
      </c>
      <c r="E40" s="38">
        <v>2.76E-2</v>
      </c>
      <c r="F40" s="38">
        <v>3.1E-2</v>
      </c>
      <c r="G40" s="38">
        <v>8.3000000000000004E-2</v>
      </c>
      <c r="I40" s="69" t="s">
        <v>170</v>
      </c>
      <c r="J40" s="37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P40" s="37">
        <v>0</v>
      </c>
      <c r="Q40" s="37">
        <v>15</v>
      </c>
      <c r="R40" s="37">
        <v>0</v>
      </c>
      <c r="S40" s="37">
        <v>0</v>
      </c>
      <c r="T40" s="37">
        <v>0</v>
      </c>
      <c r="U40" s="37">
        <v>0</v>
      </c>
      <c r="V40" s="37">
        <v>0</v>
      </c>
      <c r="W40" s="37">
        <v>0</v>
      </c>
      <c r="X40" s="37">
        <v>0</v>
      </c>
      <c r="Y40" s="37">
        <v>0</v>
      </c>
      <c r="Z40" s="37">
        <v>0.4</v>
      </c>
      <c r="AA40" s="37">
        <v>0</v>
      </c>
      <c r="AB40" s="37">
        <v>0</v>
      </c>
      <c r="AC40" s="37">
        <v>0</v>
      </c>
      <c r="AD40" s="68">
        <v>0</v>
      </c>
      <c r="AE40" s="68">
        <v>0</v>
      </c>
      <c r="AF40" s="68">
        <v>0</v>
      </c>
      <c r="AG40" s="68">
        <v>0</v>
      </c>
      <c r="AH40" s="68">
        <v>0</v>
      </c>
      <c r="AI40" s="68">
        <v>0</v>
      </c>
      <c r="AJ40" s="68">
        <v>0</v>
      </c>
      <c r="AK40" s="68">
        <v>0.11</v>
      </c>
      <c r="AL40" s="68">
        <v>0.56999999999999995</v>
      </c>
      <c r="AM40" s="68">
        <v>0.15</v>
      </c>
      <c r="AN40" s="68">
        <v>0</v>
      </c>
      <c r="AO40" s="68">
        <v>0.01</v>
      </c>
      <c r="AP40" s="68">
        <v>0.18</v>
      </c>
      <c r="AQ40" s="68">
        <v>0.32</v>
      </c>
      <c r="AR40" s="68">
        <v>1</v>
      </c>
      <c r="AS40" s="68"/>
    </row>
    <row r="41" spans="2:47">
      <c r="B41" s="35" t="s">
        <v>21</v>
      </c>
      <c r="C41" s="35" t="s">
        <v>171</v>
      </c>
      <c r="E41" s="38">
        <v>3.7499999999999999E-2</v>
      </c>
      <c r="F41" s="38">
        <v>3.85E-2</v>
      </c>
      <c r="G41" s="38">
        <v>4.4900000000000002E-2</v>
      </c>
      <c r="I41" s="69" t="s">
        <v>171</v>
      </c>
      <c r="J41" s="37">
        <v>0.5</v>
      </c>
      <c r="K41" s="37">
        <v>0.5</v>
      </c>
      <c r="L41" s="37">
        <v>0.5</v>
      </c>
      <c r="M41" s="37">
        <v>0.5</v>
      </c>
      <c r="N41" s="37">
        <v>0</v>
      </c>
      <c r="O41" s="37">
        <v>0.4</v>
      </c>
      <c r="P41" s="37">
        <v>-0.2</v>
      </c>
      <c r="Q41" s="37">
        <v>0</v>
      </c>
      <c r="R41" s="37">
        <v>0</v>
      </c>
      <c r="S41" s="37">
        <v>0.5</v>
      </c>
      <c r="T41" s="37">
        <v>0.5</v>
      </c>
      <c r="U41" s="37">
        <v>0.4</v>
      </c>
      <c r="V41" s="37">
        <v>0.2</v>
      </c>
      <c r="W41" s="37">
        <v>0.2</v>
      </c>
      <c r="X41" s="37">
        <v>0.2</v>
      </c>
      <c r="Y41" s="37">
        <v>0.4</v>
      </c>
      <c r="Z41" s="37">
        <v>0.5</v>
      </c>
      <c r="AA41" s="37">
        <v>0.5</v>
      </c>
      <c r="AB41" s="37">
        <v>0</v>
      </c>
      <c r="AC41" s="37">
        <v>0.5</v>
      </c>
      <c r="AD41" s="68">
        <v>0.4</v>
      </c>
      <c r="AE41" s="68">
        <v>0.2</v>
      </c>
      <c r="AF41" s="68">
        <v>0.5</v>
      </c>
      <c r="AG41" s="68">
        <v>0.5</v>
      </c>
      <c r="AH41" s="68">
        <v>0.4</v>
      </c>
      <c r="AI41" s="68">
        <v>0.4</v>
      </c>
      <c r="AJ41" s="68">
        <v>0.4</v>
      </c>
      <c r="AK41" s="68">
        <v>0.9</v>
      </c>
      <c r="AL41" s="68">
        <v>0.76</v>
      </c>
      <c r="AM41" s="68">
        <v>0.18</v>
      </c>
      <c r="AN41" s="68">
        <v>0.87</v>
      </c>
      <c r="AO41" s="68">
        <v>0.84</v>
      </c>
      <c r="AP41" s="68">
        <v>0.8</v>
      </c>
      <c r="AQ41" s="68">
        <v>0.7</v>
      </c>
      <c r="AR41" s="68">
        <v>0.19</v>
      </c>
      <c r="AS41" s="68">
        <v>1</v>
      </c>
    </row>
    <row r="45" spans="2:47">
      <c r="J45" s="35" t="str">
        <f>N(J6)&amp;" "</f>
        <v xml:space="preserve">1 </v>
      </c>
      <c r="K45" s="35" t="str">
        <f t="shared" ref="K45:AS45" si="0">N(K6)&amp;" "</f>
        <v xml:space="preserve">0 </v>
      </c>
      <c r="L45" s="35" t="str">
        <f t="shared" si="0"/>
        <v xml:space="preserve">0 </v>
      </c>
      <c r="M45" s="35" t="str">
        <f t="shared" si="0"/>
        <v xml:space="preserve">0 </v>
      </c>
      <c r="N45" s="35" t="str">
        <f t="shared" si="0"/>
        <v xml:space="preserve">0 </v>
      </c>
      <c r="O45" s="35" t="str">
        <f t="shared" si="0"/>
        <v xml:space="preserve">0 </v>
      </c>
      <c r="P45" s="35" t="str">
        <f t="shared" si="0"/>
        <v xml:space="preserve">0 </v>
      </c>
      <c r="Q45" s="35" t="str">
        <f t="shared" si="0"/>
        <v xml:space="preserve">0 </v>
      </c>
      <c r="R45" s="35" t="str">
        <f t="shared" si="0"/>
        <v xml:space="preserve">0 </v>
      </c>
      <c r="S45" s="35" t="str">
        <f t="shared" si="0"/>
        <v xml:space="preserve">0 </v>
      </c>
      <c r="T45" s="35" t="str">
        <f t="shared" si="0"/>
        <v xml:space="preserve">0 </v>
      </c>
      <c r="U45" s="35" t="str">
        <f t="shared" si="0"/>
        <v xml:space="preserve">0 </v>
      </c>
      <c r="V45" s="35" t="str">
        <f t="shared" si="0"/>
        <v xml:space="preserve">0 </v>
      </c>
      <c r="W45" s="35" t="str">
        <f t="shared" si="0"/>
        <v xml:space="preserve">0 </v>
      </c>
      <c r="X45" s="35" t="str">
        <f t="shared" si="0"/>
        <v xml:space="preserve">0 </v>
      </c>
      <c r="Y45" s="35" t="str">
        <f t="shared" si="0"/>
        <v xml:space="preserve">0 </v>
      </c>
      <c r="Z45" s="35" t="str">
        <f t="shared" si="0"/>
        <v xml:space="preserve">0 </v>
      </c>
      <c r="AA45" s="35" t="str">
        <f t="shared" si="0"/>
        <v xml:space="preserve">0 </v>
      </c>
      <c r="AB45" s="35" t="str">
        <f t="shared" si="0"/>
        <v xml:space="preserve">0 </v>
      </c>
      <c r="AC45" s="35" t="str">
        <f t="shared" si="0"/>
        <v xml:space="preserve">0 </v>
      </c>
      <c r="AD45" s="35" t="str">
        <f t="shared" si="0"/>
        <v xml:space="preserve">0 </v>
      </c>
      <c r="AE45" s="35" t="str">
        <f t="shared" si="0"/>
        <v xml:space="preserve">0 </v>
      </c>
      <c r="AF45" s="35" t="str">
        <f t="shared" si="0"/>
        <v xml:space="preserve">0 </v>
      </c>
      <c r="AG45" s="35" t="str">
        <f t="shared" si="0"/>
        <v xml:space="preserve">0 </v>
      </c>
      <c r="AH45" s="35" t="str">
        <f t="shared" si="0"/>
        <v xml:space="preserve">0 </v>
      </c>
      <c r="AI45" s="35" t="str">
        <f t="shared" si="0"/>
        <v xml:space="preserve">0 </v>
      </c>
      <c r="AJ45" s="35" t="str">
        <f t="shared" si="0"/>
        <v xml:space="preserve">0 </v>
      </c>
      <c r="AK45" s="35" t="str">
        <f t="shared" si="0"/>
        <v xml:space="preserve">0 </v>
      </c>
      <c r="AL45" s="35" t="str">
        <f t="shared" si="0"/>
        <v xml:space="preserve">0 </v>
      </c>
      <c r="AM45" s="35" t="str">
        <f t="shared" si="0"/>
        <v xml:space="preserve">0 </v>
      </c>
      <c r="AN45" s="35" t="str">
        <f t="shared" si="0"/>
        <v xml:space="preserve">0 </v>
      </c>
      <c r="AO45" s="35" t="str">
        <f t="shared" si="0"/>
        <v xml:space="preserve">0 </v>
      </c>
      <c r="AP45" s="35" t="str">
        <f t="shared" si="0"/>
        <v xml:space="preserve">0 </v>
      </c>
      <c r="AQ45" s="35" t="str">
        <f t="shared" si="0"/>
        <v xml:space="preserve">0 </v>
      </c>
      <c r="AR45" s="35" t="str">
        <f t="shared" si="0"/>
        <v xml:space="preserve">0 </v>
      </c>
      <c r="AS45" s="35" t="str">
        <f t="shared" si="0"/>
        <v xml:space="preserve">0 </v>
      </c>
      <c r="AT45" s="35" t="str">
        <f>_xlfn.CONCAT(J45:AS45,"; ")</f>
        <v xml:space="preserve">1 0 0 0 0 0 0 0 0 0 0 0 0 0 0 0 0 0 0 0 0 0 0 0 0 0 0 0 0 0 0 0 0 0 0 0 ; </v>
      </c>
      <c r="AU45" s="35" t="str">
        <f>"["&amp;AT45</f>
        <v xml:space="preserve">[1 0 0 0 0 0 0 0 0 0 0 0 0 0 0 0 0 0 0 0 0 0 0 0 0 0 0 0 0 0 0 0 0 0 0 0 ; </v>
      </c>
    </row>
    <row r="46" spans="2:47">
      <c r="J46" s="35" t="str">
        <f t="shared" ref="J46:AS46" si="1">N(J7)&amp;" "</f>
        <v xml:space="preserve">0.85 </v>
      </c>
      <c r="K46" s="35" t="str">
        <f t="shared" si="1"/>
        <v xml:space="preserve">1 </v>
      </c>
      <c r="L46" s="35" t="str">
        <f t="shared" si="1"/>
        <v xml:space="preserve">0 </v>
      </c>
      <c r="M46" s="35" t="str">
        <f t="shared" si="1"/>
        <v xml:space="preserve">0 </v>
      </c>
      <c r="N46" s="35" t="str">
        <f t="shared" si="1"/>
        <v xml:space="preserve">0 </v>
      </c>
      <c r="O46" s="35" t="str">
        <f t="shared" si="1"/>
        <v xml:space="preserve">0 </v>
      </c>
      <c r="P46" s="35" t="str">
        <f t="shared" si="1"/>
        <v xml:space="preserve">0 </v>
      </c>
      <c r="Q46" s="35" t="str">
        <f t="shared" si="1"/>
        <v xml:space="preserve">0 </v>
      </c>
      <c r="R46" s="35" t="str">
        <f t="shared" si="1"/>
        <v xml:space="preserve">0 </v>
      </c>
      <c r="S46" s="35" t="str">
        <f t="shared" si="1"/>
        <v xml:space="preserve">0 </v>
      </c>
      <c r="T46" s="35" t="str">
        <f t="shared" si="1"/>
        <v xml:space="preserve">0 </v>
      </c>
      <c r="U46" s="35" t="str">
        <f t="shared" si="1"/>
        <v xml:space="preserve">0 </v>
      </c>
      <c r="V46" s="35" t="str">
        <f t="shared" si="1"/>
        <v xml:space="preserve">0 </v>
      </c>
      <c r="W46" s="35" t="str">
        <f t="shared" si="1"/>
        <v xml:space="preserve">0 </v>
      </c>
      <c r="X46" s="35" t="str">
        <f t="shared" si="1"/>
        <v xml:space="preserve">0 </v>
      </c>
      <c r="Y46" s="35" t="str">
        <f t="shared" si="1"/>
        <v xml:space="preserve">0 </v>
      </c>
      <c r="Z46" s="35" t="str">
        <f t="shared" si="1"/>
        <v xml:space="preserve">0 </v>
      </c>
      <c r="AA46" s="35" t="str">
        <f t="shared" si="1"/>
        <v xml:space="preserve">0 </v>
      </c>
      <c r="AB46" s="35" t="str">
        <f t="shared" si="1"/>
        <v xml:space="preserve">0 </v>
      </c>
      <c r="AC46" s="35" t="str">
        <f t="shared" si="1"/>
        <v xml:space="preserve">0 </v>
      </c>
      <c r="AD46" s="35" t="str">
        <f t="shared" si="1"/>
        <v xml:space="preserve">0 </v>
      </c>
      <c r="AE46" s="35" t="str">
        <f t="shared" si="1"/>
        <v xml:space="preserve">0 </v>
      </c>
      <c r="AF46" s="35" t="str">
        <f t="shared" si="1"/>
        <v xml:space="preserve">0 </v>
      </c>
      <c r="AG46" s="35" t="str">
        <f t="shared" si="1"/>
        <v xml:space="preserve">0 </v>
      </c>
      <c r="AH46" s="35" t="str">
        <f t="shared" si="1"/>
        <v xml:space="preserve">0 </v>
      </c>
      <c r="AI46" s="35" t="str">
        <f t="shared" si="1"/>
        <v xml:space="preserve">0 </v>
      </c>
      <c r="AJ46" s="35" t="str">
        <f t="shared" si="1"/>
        <v xml:space="preserve">0 </v>
      </c>
      <c r="AK46" s="35" t="str">
        <f t="shared" si="1"/>
        <v xml:space="preserve">0 </v>
      </c>
      <c r="AL46" s="35" t="str">
        <f t="shared" si="1"/>
        <v xml:space="preserve">0 </v>
      </c>
      <c r="AM46" s="35" t="str">
        <f t="shared" si="1"/>
        <v xml:space="preserve">0 </v>
      </c>
      <c r="AN46" s="35" t="str">
        <f t="shared" si="1"/>
        <v xml:space="preserve">0 </v>
      </c>
      <c r="AO46" s="35" t="str">
        <f t="shared" si="1"/>
        <v xml:space="preserve">0 </v>
      </c>
      <c r="AP46" s="35" t="str">
        <f t="shared" si="1"/>
        <v xml:space="preserve">0 </v>
      </c>
      <c r="AQ46" s="35" t="str">
        <f t="shared" si="1"/>
        <v xml:space="preserve">0 </v>
      </c>
      <c r="AR46" s="35" t="str">
        <f t="shared" si="1"/>
        <v xml:space="preserve">0 </v>
      </c>
      <c r="AS46" s="35" t="str">
        <f t="shared" si="1"/>
        <v xml:space="preserve">0 </v>
      </c>
      <c r="AT46" s="35" t="str">
        <f>_xlfn.CONCAT(J46:AS46,"; ")</f>
        <v xml:space="preserve">0.85 1 0 0 0 0 0 0 0 0 0 0 0 0 0 0 0 0 0 0 0 0 0 0 0 0 0 0 0 0 0 0 0 0 0 0 ; </v>
      </c>
      <c r="AU46" s="35" t="str">
        <f>AU45&amp;AT46</f>
        <v xml:space="preserve">[1 0 0 0 0 0 0 0 0 0 0 0 0 0 0 0 0 0 0 0 0 0 0 0 0 0 0 0 0 0 0 0 0 0 0 0 ; 0.85 1 0 0 0 0 0 0 0 0 0 0 0 0 0 0 0 0 0 0 0 0 0 0 0 0 0 0 0 0 0 0 0 0 0 0 ; </v>
      </c>
    </row>
    <row r="47" spans="2:47">
      <c r="J47" s="35" t="str">
        <f t="shared" ref="J47:AS47" si="2">N(J8)&amp;" "</f>
        <v xml:space="preserve">0.85 </v>
      </c>
      <c r="K47" s="35" t="str">
        <f t="shared" si="2"/>
        <v xml:space="preserve">0.8 </v>
      </c>
      <c r="L47" s="35" t="str">
        <f t="shared" si="2"/>
        <v xml:space="preserve">1 </v>
      </c>
      <c r="M47" s="35" t="str">
        <f t="shared" si="2"/>
        <v xml:space="preserve">0 </v>
      </c>
      <c r="N47" s="35" t="str">
        <f t="shared" si="2"/>
        <v xml:space="preserve">0 </v>
      </c>
      <c r="O47" s="35" t="str">
        <f t="shared" si="2"/>
        <v xml:space="preserve">0 </v>
      </c>
      <c r="P47" s="35" t="str">
        <f t="shared" si="2"/>
        <v xml:space="preserve">0 </v>
      </c>
      <c r="Q47" s="35" t="str">
        <f t="shared" si="2"/>
        <v xml:space="preserve">0 </v>
      </c>
      <c r="R47" s="35" t="str">
        <f t="shared" si="2"/>
        <v xml:space="preserve">0 </v>
      </c>
      <c r="S47" s="35" t="str">
        <f t="shared" si="2"/>
        <v xml:space="preserve">0 </v>
      </c>
      <c r="T47" s="35" t="str">
        <f t="shared" si="2"/>
        <v xml:space="preserve">0 </v>
      </c>
      <c r="U47" s="35" t="str">
        <f t="shared" si="2"/>
        <v xml:space="preserve">0 </v>
      </c>
      <c r="V47" s="35" t="str">
        <f t="shared" si="2"/>
        <v xml:space="preserve">0 </v>
      </c>
      <c r="W47" s="35" t="str">
        <f t="shared" si="2"/>
        <v xml:space="preserve">0 </v>
      </c>
      <c r="X47" s="35" t="str">
        <f t="shared" si="2"/>
        <v xml:space="preserve">0 </v>
      </c>
      <c r="Y47" s="35" t="str">
        <f t="shared" si="2"/>
        <v xml:space="preserve">0 </v>
      </c>
      <c r="Z47" s="35" t="str">
        <f t="shared" si="2"/>
        <v xml:space="preserve">0 </v>
      </c>
      <c r="AA47" s="35" t="str">
        <f t="shared" si="2"/>
        <v xml:space="preserve">0 </v>
      </c>
      <c r="AB47" s="35" t="str">
        <f t="shared" si="2"/>
        <v xml:space="preserve">0 </v>
      </c>
      <c r="AC47" s="35" t="str">
        <f t="shared" si="2"/>
        <v xml:space="preserve">0 </v>
      </c>
      <c r="AD47" s="35" t="str">
        <f t="shared" si="2"/>
        <v xml:space="preserve">0 </v>
      </c>
      <c r="AE47" s="35" t="str">
        <f t="shared" si="2"/>
        <v xml:space="preserve">0 </v>
      </c>
      <c r="AF47" s="35" t="str">
        <f t="shared" si="2"/>
        <v xml:space="preserve">0 </v>
      </c>
      <c r="AG47" s="35" t="str">
        <f t="shared" si="2"/>
        <v xml:space="preserve">0 </v>
      </c>
      <c r="AH47" s="35" t="str">
        <f t="shared" si="2"/>
        <v xml:space="preserve">0 </v>
      </c>
      <c r="AI47" s="35" t="str">
        <f t="shared" si="2"/>
        <v xml:space="preserve">0 </v>
      </c>
      <c r="AJ47" s="35" t="str">
        <f t="shared" si="2"/>
        <v xml:space="preserve">0 </v>
      </c>
      <c r="AK47" s="35" t="str">
        <f t="shared" si="2"/>
        <v xml:space="preserve">0 </v>
      </c>
      <c r="AL47" s="35" t="str">
        <f t="shared" si="2"/>
        <v xml:space="preserve">0 </v>
      </c>
      <c r="AM47" s="35" t="str">
        <f t="shared" si="2"/>
        <v xml:space="preserve">0 </v>
      </c>
      <c r="AN47" s="35" t="str">
        <f t="shared" si="2"/>
        <v xml:space="preserve">0 </v>
      </c>
      <c r="AO47" s="35" t="str">
        <f t="shared" si="2"/>
        <v xml:space="preserve">0 </v>
      </c>
      <c r="AP47" s="35" t="str">
        <f t="shared" si="2"/>
        <v xml:space="preserve">0 </v>
      </c>
      <c r="AQ47" s="35" t="str">
        <f t="shared" si="2"/>
        <v xml:space="preserve">0 </v>
      </c>
      <c r="AR47" s="35" t="str">
        <f t="shared" si="2"/>
        <v xml:space="preserve">0 </v>
      </c>
      <c r="AS47" s="35" t="str">
        <f t="shared" si="2"/>
        <v xml:space="preserve">0 </v>
      </c>
      <c r="AT47" s="35" t="str">
        <f>_xlfn.CONCAT(J47:AS47,"; ")</f>
        <v xml:space="preserve">0.85 0.8 1 0 0 0 0 0 0 0 0 0 0 0 0 0 0 0 0 0 0 0 0 0 0 0 0 0 0 0 0 0 0 0 0 0 ; </v>
      </c>
      <c r="AU47" s="35" t="str">
        <f t="shared" ref="AU47:AU80" si="3">AU46&amp;AT47</f>
        <v xml:space="preserve">[1 0 0 0 0 0 0 0 0 0 0 0 0 0 0 0 0 0 0 0 0 0 0 0 0 0 0 0 0 0 0 0 0 0 0 0 ; 0.85 1 0 0 0 0 0 0 0 0 0 0 0 0 0 0 0 0 0 0 0 0 0 0 0 0 0 0 0 0 0 0 0 0 0 0 ; 0.85 0.8 1 0 0 0 0 0 0 0 0 0 0 0 0 0 0 0 0 0 0 0 0 0 0 0 0 0 0 0 0 0 0 0 0 0 ; </v>
      </c>
    </row>
    <row r="48" spans="2:47">
      <c r="J48" s="35" t="str">
        <f t="shared" ref="J48:AS48" si="4">N(J9)&amp;" "</f>
        <v xml:space="preserve">0.9 </v>
      </c>
      <c r="K48" s="35" t="str">
        <f t="shared" si="4"/>
        <v xml:space="preserve">0.9 </v>
      </c>
      <c r="L48" s="35" t="str">
        <f t="shared" si="4"/>
        <v xml:space="preserve">0.85 </v>
      </c>
      <c r="M48" s="35" t="str">
        <f t="shared" si="4"/>
        <v xml:space="preserve">1 </v>
      </c>
      <c r="N48" s="35" t="str">
        <f t="shared" si="4"/>
        <v xml:space="preserve">0 </v>
      </c>
      <c r="O48" s="35" t="str">
        <f t="shared" si="4"/>
        <v xml:space="preserve">0 </v>
      </c>
      <c r="P48" s="35" t="str">
        <f t="shared" si="4"/>
        <v xml:space="preserve">0 </v>
      </c>
      <c r="Q48" s="35" t="str">
        <f t="shared" si="4"/>
        <v xml:space="preserve">0 </v>
      </c>
      <c r="R48" s="35" t="str">
        <f t="shared" si="4"/>
        <v xml:space="preserve">0 </v>
      </c>
      <c r="S48" s="35" t="str">
        <f t="shared" si="4"/>
        <v xml:space="preserve">0 </v>
      </c>
      <c r="T48" s="35" t="str">
        <f t="shared" si="4"/>
        <v xml:space="preserve">0 </v>
      </c>
      <c r="U48" s="35" t="str">
        <f t="shared" si="4"/>
        <v xml:space="preserve">0 </v>
      </c>
      <c r="V48" s="35" t="str">
        <f t="shared" si="4"/>
        <v xml:space="preserve">0 </v>
      </c>
      <c r="W48" s="35" t="str">
        <f t="shared" si="4"/>
        <v xml:space="preserve">0 </v>
      </c>
      <c r="X48" s="35" t="str">
        <f t="shared" si="4"/>
        <v xml:space="preserve">0 </v>
      </c>
      <c r="Y48" s="35" t="str">
        <f t="shared" si="4"/>
        <v xml:space="preserve">0 </v>
      </c>
      <c r="Z48" s="35" t="str">
        <f t="shared" si="4"/>
        <v xml:space="preserve">0 </v>
      </c>
      <c r="AA48" s="35" t="str">
        <f t="shared" si="4"/>
        <v xml:space="preserve">0 </v>
      </c>
      <c r="AB48" s="35" t="str">
        <f t="shared" si="4"/>
        <v xml:space="preserve">0 </v>
      </c>
      <c r="AC48" s="35" t="str">
        <f t="shared" si="4"/>
        <v xml:space="preserve">0 </v>
      </c>
      <c r="AD48" s="35" t="str">
        <f t="shared" si="4"/>
        <v xml:space="preserve">0 </v>
      </c>
      <c r="AE48" s="35" t="str">
        <f t="shared" si="4"/>
        <v xml:space="preserve">0 </v>
      </c>
      <c r="AF48" s="35" t="str">
        <f t="shared" si="4"/>
        <v xml:space="preserve">0 </v>
      </c>
      <c r="AG48" s="35" t="str">
        <f t="shared" si="4"/>
        <v xml:space="preserve">0 </v>
      </c>
      <c r="AH48" s="35" t="str">
        <f t="shared" si="4"/>
        <v xml:space="preserve">0 </v>
      </c>
      <c r="AI48" s="35" t="str">
        <f t="shared" si="4"/>
        <v xml:space="preserve">0 </v>
      </c>
      <c r="AJ48" s="35" t="str">
        <f t="shared" si="4"/>
        <v xml:space="preserve">0 </v>
      </c>
      <c r="AK48" s="35" t="str">
        <f t="shared" si="4"/>
        <v xml:space="preserve">0 </v>
      </c>
      <c r="AL48" s="35" t="str">
        <f t="shared" si="4"/>
        <v xml:space="preserve">0 </v>
      </c>
      <c r="AM48" s="35" t="str">
        <f t="shared" si="4"/>
        <v xml:space="preserve">0 </v>
      </c>
      <c r="AN48" s="35" t="str">
        <f t="shared" si="4"/>
        <v xml:space="preserve">0 </v>
      </c>
      <c r="AO48" s="35" t="str">
        <f t="shared" si="4"/>
        <v xml:space="preserve">0 </v>
      </c>
      <c r="AP48" s="35" t="str">
        <f t="shared" si="4"/>
        <v xml:space="preserve">0 </v>
      </c>
      <c r="AQ48" s="35" t="str">
        <f t="shared" si="4"/>
        <v xml:space="preserve">0 </v>
      </c>
      <c r="AR48" s="35" t="str">
        <f t="shared" si="4"/>
        <v xml:space="preserve">0 </v>
      </c>
      <c r="AS48" s="35" t="str">
        <f t="shared" si="4"/>
        <v xml:space="preserve">0 </v>
      </c>
      <c r="AT48" s="35" t="str">
        <f>_xlfn.CONCAT(J48:AS48,"; ")</f>
        <v xml:space="preserve">0.9 0.9 0.85 1 0 0 0 0 0 0 0 0 0 0 0 0 0 0 0 0 0 0 0 0 0 0 0 0 0 0 0 0 0 0 0 0 ; </v>
      </c>
      <c r="AU48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</v>
      </c>
    </row>
    <row r="49" spans="10:47">
      <c r="J49" s="35" t="str">
        <f t="shared" ref="J49:AS49" si="5">N(J10)&amp;" "</f>
        <v xml:space="preserve">0 </v>
      </c>
      <c r="K49" s="35" t="str">
        <f t="shared" si="5"/>
        <v xml:space="preserve">0 </v>
      </c>
      <c r="L49" s="35" t="str">
        <f t="shared" si="5"/>
        <v xml:space="preserve">0.05 </v>
      </c>
      <c r="M49" s="35" t="str">
        <f t="shared" si="5"/>
        <v xml:space="preserve">0 </v>
      </c>
      <c r="N49" s="35" t="str">
        <f t="shared" si="5"/>
        <v xml:space="preserve">1 </v>
      </c>
      <c r="O49" s="35" t="str">
        <f t="shared" si="5"/>
        <v xml:space="preserve">0 </v>
      </c>
      <c r="P49" s="35" t="str">
        <f t="shared" si="5"/>
        <v xml:space="preserve">0 </v>
      </c>
      <c r="Q49" s="35" t="str">
        <f t="shared" si="5"/>
        <v xml:space="preserve">0 </v>
      </c>
      <c r="R49" s="35" t="str">
        <f t="shared" si="5"/>
        <v xml:space="preserve">0 </v>
      </c>
      <c r="S49" s="35" t="str">
        <f t="shared" si="5"/>
        <v xml:space="preserve">0 </v>
      </c>
      <c r="T49" s="35" t="str">
        <f t="shared" si="5"/>
        <v xml:space="preserve">0 </v>
      </c>
      <c r="U49" s="35" t="str">
        <f t="shared" si="5"/>
        <v xml:space="preserve">0 </v>
      </c>
      <c r="V49" s="35" t="str">
        <f t="shared" si="5"/>
        <v xml:space="preserve">0 </v>
      </c>
      <c r="W49" s="35" t="str">
        <f t="shared" si="5"/>
        <v xml:space="preserve">0 </v>
      </c>
      <c r="X49" s="35" t="str">
        <f t="shared" si="5"/>
        <v xml:space="preserve">0 </v>
      </c>
      <c r="Y49" s="35" t="str">
        <f t="shared" si="5"/>
        <v xml:space="preserve">0 </v>
      </c>
      <c r="Z49" s="35" t="str">
        <f t="shared" si="5"/>
        <v xml:space="preserve">0 </v>
      </c>
      <c r="AA49" s="35" t="str">
        <f t="shared" si="5"/>
        <v xml:space="preserve">0 </v>
      </c>
      <c r="AB49" s="35" t="str">
        <f t="shared" si="5"/>
        <v xml:space="preserve">0 </v>
      </c>
      <c r="AC49" s="35" t="str">
        <f t="shared" si="5"/>
        <v xml:space="preserve">0 </v>
      </c>
      <c r="AD49" s="35" t="str">
        <f t="shared" si="5"/>
        <v xml:space="preserve">0 </v>
      </c>
      <c r="AE49" s="35" t="str">
        <f t="shared" si="5"/>
        <v xml:space="preserve">0 </v>
      </c>
      <c r="AF49" s="35" t="str">
        <f t="shared" si="5"/>
        <v xml:space="preserve">0 </v>
      </c>
      <c r="AG49" s="35" t="str">
        <f t="shared" si="5"/>
        <v xml:space="preserve">0 </v>
      </c>
      <c r="AH49" s="35" t="str">
        <f t="shared" si="5"/>
        <v xml:space="preserve">0 </v>
      </c>
      <c r="AI49" s="35" t="str">
        <f t="shared" si="5"/>
        <v xml:space="preserve">0 </v>
      </c>
      <c r="AJ49" s="35" t="str">
        <f t="shared" si="5"/>
        <v xml:space="preserve">0 </v>
      </c>
      <c r="AK49" s="35" t="str">
        <f t="shared" si="5"/>
        <v xml:space="preserve">0 </v>
      </c>
      <c r="AL49" s="35" t="str">
        <f t="shared" si="5"/>
        <v xml:space="preserve">0 </v>
      </c>
      <c r="AM49" s="35" t="str">
        <f t="shared" si="5"/>
        <v xml:space="preserve">0 </v>
      </c>
      <c r="AN49" s="35" t="str">
        <f t="shared" si="5"/>
        <v xml:space="preserve">0 </v>
      </c>
      <c r="AO49" s="35" t="str">
        <f t="shared" si="5"/>
        <v xml:space="preserve">0 </v>
      </c>
      <c r="AP49" s="35" t="str">
        <f t="shared" si="5"/>
        <v xml:space="preserve">0 </v>
      </c>
      <c r="AQ49" s="35" t="str">
        <f t="shared" si="5"/>
        <v xml:space="preserve">0 </v>
      </c>
      <c r="AR49" s="35" t="str">
        <f t="shared" si="5"/>
        <v xml:space="preserve">0 </v>
      </c>
      <c r="AS49" s="35" t="str">
        <f t="shared" si="5"/>
        <v xml:space="preserve">0 </v>
      </c>
      <c r="AT49" s="35" t="str">
        <f>_xlfn.CONCAT(J49:AS49,"; ")</f>
        <v xml:space="preserve">0 0 0.05 0 1 0 0 0 0 0 0 0 0 0 0 0 0 0 0 0 0 0 0 0 0 0 0 0 0 0 0 0 0 0 0 0 ; </v>
      </c>
      <c r="AU49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</v>
      </c>
    </row>
    <row r="50" spans="10:47">
      <c r="J50" s="35" t="str">
        <f t="shared" ref="J50:AS50" si="6">N(J11)&amp;" "</f>
        <v xml:space="preserve">0.25 </v>
      </c>
      <c r="K50" s="35" t="str">
        <f t="shared" si="6"/>
        <v xml:space="preserve">0.25 </v>
      </c>
      <c r="L50" s="35" t="str">
        <f t="shared" si="6"/>
        <v xml:space="preserve">0.3 </v>
      </c>
      <c r="M50" s="35" t="str">
        <f t="shared" si="6"/>
        <v xml:space="preserve">0.25 </v>
      </c>
      <c r="N50" s="35" t="str">
        <f t="shared" si="6"/>
        <v xml:space="preserve">0.87 </v>
      </c>
      <c r="O50" s="35" t="str">
        <f t="shared" si="6"/>
        <v xml:space="preserve">1 </v>
      </c>
      <c r="P50" s="35" t="str">
        <f t="shared" si="6"/>
        <v xml:space="preserve">0 </v>
      </c>
      <c r="Q50" s="35" t="str">
        <f t="shared" si="6"/>
        <v xml:space="preserve">0 </v>
      </c>
      <c r="R50" s="35" t="str">
        <f t="shared" si="6"/>
        <v xml:space="preserve">0 </v>
      </c>
      <c r="S50" s="35" t="str">
        <f t="shared" si="6"/>
        <v xml:space="preserve">0 </v>
      </c>
      <c r="T50" s="35" t="str">
        <f t="shared" si="6"/>
        <v xml:space="preserve">0 </v>
      </c>
      <c r="U50" s="35" t="str">
        <f t="shared" si="6"/>
        <v xml:space="preserve">0 </v>
      </c>
      <c r="V50" s="35" t="str">
        <f t="shared" si="6"/>
        <v xml:space="preserve">0 </v>
      </c>
      <c r="W50" s="35" t="str">
        <f t="shared" si="6"/>
        <v xml:space="preserve">0 </v>
      </c>
      <c r="X50" s="35" t="str">
        <f t="shared" si="6"/>
        <v xml:space="preserve">0 </v>
      </c>
      <c r="Y50" s="35" t="str">
        <f t="shared" si="6"/>
        <v xml:space="preserve">0 </v>
      </c>
      <c r="Z50" s="35" t="str">
        <f t="shared" si="6"/>
        <v xml:space="preserve">0 </v>
      </c>
      <c r="AA50" s="35" t="str">
        <f t="shared" si="6"/>
        <v xml:space="preserve">0 </v>
      </c>
      <c r="AB50" s="35" t="str">
        <f t="shared" si="6"/>
        <v xml:space="preserve">0 </v>
      </c>
      <c r="AC50" s="35" t="str">
        <f t="shared" si="6"/>
        <v xml:space="preserve">0 </v>
      </c>
      <c r="AD50" s="35" t="str">
        <f t="shared" si="6"/>
        <v xml:space="preserve">0 </v>
      </c>
      <c r="AE50" s="35" t="str">
        <f t="shared" si="6"/>
        <v xml:space="preserve">0 </v>
      </c>
      <c r="AF50" s="35" t="str">
        <f t="shared" si="6"/>
        <v xml:space="preserve">0 </v>
      </c>
      <c r="AG50" s="35" t="str">
        <f t="shared" si="6"/>
        <v xml:space="preserve">0 </v>
      </c>
      <c r="AH50" s="35" t="str">
        <f t="shared" si="6"/>
        <v xml:space="preserve">0 </v>
      </c>
      <c r="AI50" s="35" t="str">
        <f t="shared" si="6"/>
        <v xml:space="preserve">0 </v>
      </c>
      <c r="AJ50" s="35" t="str">
        <f t="shared" si="6"/>
        <v xml:space="preserve">0 </v>
      </c>
      <c r="AK50" s="35" t="str">
        <f t="shared" si="6"/>
        <v xml:space="preserve">0 </v>
      </c>
      <c r="AL50" s="35" t="str">
        <f t="shared" si="6"/>
        <v xml:space="preserve">0 </v>
      </c>
      <c r="AM50" s="35" t="str">
        <f t="shared" si="6"/>
        <v xml:space="preserve">0 </v>
      </c>
      <c r="AN50" s="35" t="str">
        <f t="shared" si="6"/>
        <v xml:space="preserve">0 </v>
      </c>
      <c r="AO50" s="35" t="str">
        <f t="shared" si="6"/>
        <v xml:space="preserve">0 </v>
      </c>
      <c r="AP50" s="35" t="str">
        <f t="shared" si="6"/>
        <v xml:space="preserve">0 </v>
      </c>
      <c r="AQ50" s="35" t="str">
        <f t="shared" si="6"/>
        <v xml:space="preserve">0 </v>
      </c>
      <c r="AR50" s="35" t="str">
        <f t="shared" si="6"/>
        <v xml:space="preserve">0 </v>
      </c>
      <c r="AS50" s="35" t="str">
        <f t="shared" si="6"/>
        <v xml:space="preserve">0 </v>
      </c>
      <c r="AT50" s="35" t="str">
        <f>_xlfn.CONCAT(J50:AS50,"; ")</f>
        <v xml:space="preserve">0.25 0.25 0.3 0.25 0.87 1 0 0 0 0 0 0 0 0 0 0 0 0 0 0 0 0 0 0 0 0 0 0 0 0 0 0 0 0 0 0 ; </v>
      </c>
      <c r="AU50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</v>
      </c>
    </row>
    <row r="51" spans="10:47">
      <c r="J51" s="35" t="str">
        <f t="shared" ref="J51:AS51" si="7">N(J12)&amp;" "</f>
        <v xml:space="preserve">-0.2 </v>
      </c>
      <c r="K51" s="35" t="str">
        <f t="shared" si="7"/>
        <v xml:space="preserve">0 </v>
      </c>
      <c r="L51" s="35" t="str">
        <f t="shared" si="7"/>
        <v xml:space="preserve">0 </v>
      </c>
      <c r="M51" s="35" t="str">
        <f t="shared" si="7"/>
        <v xml:space="preserve">-0.05 </v>
      </c>
      <c r="N51" s="35" t="str">
        <f t="shared" si="7"/>
        <v xml:space="preserve">0.85 </v>
      </c>
      <c r="O51" s="35" t="str">
        <f t="shared" si="7"/>
        <v xml:space="preserve">0.65 </v>
      </c>
      <c r="P51" s="35" t="str">
        <f t="shared" si="7"/>
        <v xml:space="preserve">1 </v>
      </c>
      <c r="Q51" s="35" t="str">
        <f t="shared" si="7"/>
        <v xml:space="preserve">0 </v>
      </c>
      <c r="R51" s="35" t="str">
        <f t="shared" si="7"/>
        <v xml:space="preserve">0 </v>
      </c>
      <c r="S51" s="35" t="str">
        <f t="shared" si="7"/>
        <v xml:space="preserve">0 </v>
      </c>
      <c r="T51" s="35" t="str">
        <f t="shared" si="7"/>
        <v xml:space="preserve">0 </v>
      </c>
      <c r="U51" s="35" t="str">
        <f t="shared" si="7"/>
        <v xml:space="preserve">0 </v>
      </c>
      <c r="V51" s="35" t="str">
        <f t="shared" si="7"/>
        <v xml:space="preserve">0 </v>
      </c>
      <c r="W51" s="35" t="str">
        <f t="shared" si="7"/>
        <v xml:space="preserve">0 </v>
      </c>
      <c r="X51" s="35" t="str">
        <f t="shared" si="7"/>
        <v xml:space="preserve">0 </v>
      </c>
      <c r="Y51" s="35" t="str">
        <f t="shared" si="7"/>
        <v xml:space="preserve">0 </v>
      </c>
      <c r="Z51" s="35" t="str">
        <f t="shared" si="7"/>
        <v xml:space="preserve">0 </v>
      </c>
      <c r="AA51" s="35" t="str">
        <f t="shared" si="7"/>
        <v xml:space="preserve">0 </v>
      </c>
      <c r="AB51" s="35" t="str">
        <f t="shared" si="7"/>
        <v xml:space="preserve">0 </v>
      </c>
      <c r="AC51" s="35" t="str">
        <f t="shared" si="7"/>
        <v xml:space="preserve">0 </v>
      </c>
      <c r="AD51" s="35" t="str">
        <f t="shared" si="7"/>
        <v xml:space="preserve">0 </v>
      </c>
      <c r="AE51" s="35" t="str">
        <f t="shared" si="7"/>
        <v xml:space="preserve">0 </v>
      </c>
      <c r="AF51" s="35" t="str">
        <f t="shared" si="7"/>
        <v xml:space="preserve">0 </v>
      </c>
      <c r="AG51" s="35" t="str">
        <f t="shared" si="7"/>
        <v xml:space="preserve">0 </v>
      </c>
      <c r="AH51" s="35" t="str">
        <f t="shared" si="7"/>
        <v xml:space="preserve">0 </v>
      </c>
      <c r="AI51" s="35" t="str">
        <f t="shared" si="7"/>
        <v xml:space="preserve">0 </v>
      </c>
      <c r="AJ51" s="35" t="str">
        <f t="shared" si="7"/>
        <v xml:space="preserve">0 </v>
      </c>
      <c r="AK51" s="35" t="str">
        <f t="shared" si="7"/>
        <v xml:space="preserve">0 </v>
      </c>
      <c r="AL51" s="35" t="str">
        <f t="shared" si="7"/>
        <v xml:space="preserve">0 </v>
      </c>
      <c r="AM51" s="35" t="str">
        <f t="shared" si="7"/>
        <v xml:space="preserve">0 </v>
      </c>
      <c r="AN51" s="35" t="str">
        <f t="shared" si="7"/>
        <v xml:space="preserve">0 </v>
      </c>
      <c r="AO51" s="35" t="str">
        <f t="shared" si="7"/>
        <v xml:space="preserve">0 </v>
      </c>
      <c r="AP51" s="35" t="str">
        <f t="shared" si="7"/>
        <v xml:space="preserve">0 </v>
      </c>
      <c r="AQ51" s="35" t="str">
        <f t="shared" si="7"/>
        <v xml:space="preserve">0 </v>
      </c>
      <c r="AR51" s="35" t="str">
        <f t="shared" si="7"/>
        <v xml:space="preserve">0 </v>
      </c>
      <c r="AS51" s="35" t="str">
        <f t="shared" si="7"/>
        <v xml:space="preserve">0 </v>
      </c>
      <c r="AT51" s="35" t="str">
        <f>_xlfn.CONCAT(J51:AS51,"; ")</f>
        <v xml:space="preserve">-0.2 0 0 -0.05 0.85 0.65 1 0 0 0 0 0 0 0 0 0 0 0 0 0 0 0 0 0 0 0 0 0 0 0 0 0 0 0 0 0 ; </v>
      </c>
      <c r="AU51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</v>
      </c>
    </row>
    <row r="52" spans="10:47">
      <c r="J52" s="35" t="str">
        <f t="shared" ref="J52:AS52" si="8">N(J13)&amp;" "</f>
        <v xml:space="preserve">0 </v>
      </c>
      <c r="K52" s="35" t="str">
        <f t="shared" si="8"/>
        <v xml:space="preserve">0 </v>
      </c>
      <c r="L52" s="35" t="str">
        <f t="shared" si="8"/>
        <v xml:space="preserve">0.05 </v>
      </c>
      <c r="M52" s="35" t="str">
        <f t="shared" si="8"/>
        <v xml:space="preserve">0 </v>
      </c>
      <c r="N52" s="35" t="str">
        <f t="shared" si="8"/>
        <v xml:space="preserve">0.05 </v>
      </c>
      <c r="O52" s="35" t="str">
        <f t="shared" si="8"/>
        <v xml:space="preserve">0.05 </v>
      </c>
      <c r="P52" s="35" t="str">
        <f t="shared" si="8"/>
        <v xml:space="preserve">0 </v>
      </c>
      <c r="Q52" s="35" t="str">
        <f t="shared" si="8"/>
        <v xml:space="preserve">1 </v>
      </c>
      <c r="R52" s="35" t="str">
        <f t="shared" si="8"/>
        <v xml:space="preserve">0 </v>
      </c>
      <c r="S52" s="35" t="str">
        <f t="shared" si="8"/>
        <v xml:space="preserve">0 </v>
      </c>
      <c r="T52" s="35" t="str">
        <f t="shared" si="8"/>
        <v xml:space="preserve">0 </v>
      </c>
      <c r="U52" s="35" t="str">
        <f t="shared" si="8"/>
        <v xml:space="preserve">0 </v>
      </c>
      <c r="V52" s="35" t="str">
        <f t="shared" si="8"/>
        <v xml:space="preserve">0 </v>
      </c>
      <c r="W52" s="35" t="str">
        <f t="shared" si="8"/>
        <v xml:space="preserve">0 </v>
      </c>
      <c r="X52" s="35" t="str">
        <f t="shared" si="8"/>
        <v xml:space="preserve">0 </v>
      </c>
      <c r="Y52" s="35" t="str">
        <f t="shared" si="8"/>
        <v xml:space="preserve">0 </v>
      </c>
      <c r="Z52" s="35" t="str">
        <f t="shared" si="8"/>
        <v xml:space="preserve">0 </v>
      </c>
      <c r="AA52" s="35" t="str">
        <f t="shared" si="8"/>
        <v xml:space="preserve">0 </v>
      </c>
      <c r="AB52" s="35" t="str">
        <f t="shared" si="8"/>
        <v xml:space="preserve">0 </v>
      </c>
      <c r="AC52" s="35" t="str">
        <f t="shared" si="8"/>
        <v xml:space="preserve">0 </v>
      </c>
      <c r="AD52" s="35" t="str">
        <f t="shared" si="8"/>
        <v xml:space="preserve">0 </v>
      </c>
      <c r="AE52" s="35" t="str">
        <f t="shared" si="8"/>
        <v xml:space="preserve">0 </v>
      </c>
      <c r="AF52" s="35" t="str">
        <f t="shared" si="8"/>
        <v xml:space="preserve">0 </v>
      </c>
      <c r="AG52" s="35" t="str">
        <f t="shared" si="8"/>
        <v xml:space="preserve">0 </v>
      </c>
      <c r="AH52" s="35" t="str">
        <f t="shared" si="8"/>
        <v xml:space="preserve">0 </v>
      </c>
      <c r="AI52" s="35" t="str">
        <f t="shared" si="8"/>
        <v xml:space="preserve">0 </v>
      </c>
      <c r="AJ52" s="35" t="str">
        <f t="shared" si="8"/>
        <v xml:space="preserve">0 </v>
      </c>
      <c r="AK52" s="35" t="str">
        <f t="shared" si="8"/>
        <v xml:space="preserve">0 </v>
      </c>
      <c r="AL52" s="35" t="str">
        <f t="shared" si="8"/>
        <v xml:space="preserve">0 </v>
      </c>
      <c r="AM52" s="35" t="str">
        <f t="shared" si="8"/>
        <v xml:space="preserve">0 </v>
      </c>
      <c r="AN52" s="35" t="str">
        <f t="shared" si="8"/>
        <v xml:space="preserve">0 </v>
      </c>
      <c r="AO52" s="35" t="str">
        <f t="shared" si="8"/>
        <v xml:space="preserve">0 </v>
      </c>
      <c r="AP52" s="35" t="str">
        <f t="shared" si="8"/>
        <v xml:space="preserve">0 </v>
      </c>
      <c r="AQ52" s="35" t="str">
        <f t="shared" si="8"/>
        <v xml:space="preserve">0 </v>
      </c>
      <c r="AR52" s="35" t="str">
        <f t="shared" si="8"/>
        <v xml:space="preserve">0 </v>
      </c>
      <c r="AS52" s="35" t="str">
        <f t="shared" si="8"/>
        <v xml:space="preserve">0 </v>
      </c>
      <c r="AT52" s="35" t="str">
        <f>_xlfn.CONCAT(J52:AS52,"; ")</f>
        <v xml:space="preserve">0 0 0.05 0 0.05 0.05 0 1 0 0 0 0 0 0 0 0 0 0 0 0 0 0 0 0 0 0 0 0 0 0 0 0 0 0 0 0 ; </v>
      </c>
      <c r="AU52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</v>
      </c>
    </row>
    <row r="53" spans="10:47">
      <c r="J53" s="35" t="str">
        <f t="shared" ref="J53:AS53" si="9">N(J14)&amp;" "</f>
        <v xml:space="preserve">0 </v>
      </c>
      <c r="K53" s="35" t="str">
        <f t="shared" si="9"/>
        <v xml:space="preserve">0.15 </v>
      </c>
      <c r="L53" s="35" t="str">
        <f t="shared" si="9"/>
        <v xml:space="preserve">0.15 </v>
      </c>
      <c r="M53" s="35" t="str">
        <f t="shared" si="9"/>
        <v xml:space="preserve">0.1 </v>
      </c>
      <c r="N53" s="35" t="str">
        <f t="shared" si="9"/>
        <v xml:space="preserve">0.8 </v>
      </c>
      <c r="O53" s="35" t="str">
        <f t="shared" si="9"/>
        <v xml:space="preserve">0.7 </v>
      </c>
      <c r="P53" s="35" t="str">
        <f t="shared" si="9"/>
        <v xml:space="preserve">0.65 </v>
      </c>
      <c r="Q53" s="35" t="str">
        <f t="shared" si="9"/>
        <v xml:space="preserve">-0.05 </v>
      </c>
      <c r="R53" s="35" t="str">
        <f t="shared" si="9"/>
        <v xml:space="preserve">1 </v>
      </c>
      <c r="S53" s="35" t="str">
        <f t="shared" si="9"/>
        <v xml:space="preserve">0 </v>
      </c>
      <c r="T53" s="35" t="str">
        <f t="shared" si="9"/>
        <v xml:space="preserve">0 </v>
      </c>
      <c r="U53" s="35" t="str">
        <f t="shared" si="9"/>
        <v xml:space="preserve">0 </v>
      </c>
      <c r="V53" s="35" t="str">
        <f t="shared" si="9"/>
        <v xml:space="preserve">0 </v>
      </c>
      <c r="W53" s="35" t="str">
        <f t="shared" si="9"/>
        <v xml:space="preserve">0 </v>
      </c>
      <c r="X53" s="35" t="str">
        <f t="shared" si="9"/>
        <v xml:space="preserve">0 </v>
      </c>
      <c r="Y53" s="35" t="str">
        <f t="shared" si="9"/>
        <v xml:space="preserve">0 </v>
      </c>
      <c r="Z53" s="35" t="str">
        <f t="shared" si="9"/>
        <v xml:space="preserve">0 </v>
      </c>
      <c r="AA53" s="35" t="str">
        <f t="shared" si="9"/>
        <v xml:space="preserve">0 </v>
      </c>
      <c r="AB53" s="35" t="str">
        <f t="shared" si="9"/>
        <v xml:space="preserve">0 </v>
      </c>
      <c r="AC53" s="35" t="str">
        <f t="shared" si="9"/>
        <v xml:space="preserve">0 </v>
      </c>
      <c r="AD53" s="35" t="str">
        <f t="shared" si="9"/>
        <v xml:space="preserve">0 </v>
      </c>
      <c r="AE53" s="35" t="str">
        <f t="shared" si="9"/>
        <v xml:space="preserve">0 </v>
      </c>
      <c r="AF53" s="35" t="str">
        <f t="shared" si="9"/>
        <v xml:space="preserve">0 </v>
      </c>
      <c r="AG53" s="35" t="str">
        <f t="shared" si="9"/>
        <v xml:space="preserve">0 </v>
      </c>
      <c r="AH53" s="35" t="str">
        <f t="shared" si="9"/>
        <v xml:space="preserve">0 </v>
      </c>
      <c r="AI53" s="35" t="str">
        <f t="shared" si="9"/>
        <v xml:space="preserve">0 </v>
      </c>
      <c r="AJ53" s="35" t="str">
        <f t="shared" si="9"/>
        <v xml:space="preserve">0 </v>
      </c>
      <c r="AK53" s="35" t="str">
        <f t="shared" si="9"/>
        <v xml:space="preserve">0 </v>
      </c>
      <c r="AL53" s="35" t="str">
        <f t="shared" si="9"/>
        <v xml:space="preserve">0 </v>
      </c>
      <c r="AM53" s="35" t="str">
        <f t="shared" si="9"/>
        <v xml:space="preserve">0 </v>
      </c>
      <c r="AN53" s="35" t="str">
        <f t="shared" si="9"/>
        <v xml:space="preserve">0 </v>
      </c>
      <c r="AO53" s="35" t="str">
        <f t="shared" si="9"/>
        <v xml:space="preserve">0 </v>
      </c>
      <c r="AP53" s="35" t="str">
        <f t="shared" si="9"/>
        <v xml:space="preserve">0 </v>
      </c>
      <c r="AQ53" s="35" t="str">
        <f t="shared" si="9"/>
        <v xml:space="preserve">0 </v>
      </c>
      <c r="AR53" s="35" t="str">
        <f t="shared" si="9"/>
        <v xml:space="preserve">0 </v>
      </c>
      <c r="AS53" s="35" t="str">
        <f t="shared" si="9"/>
        <v xml:space="preserve">0 </v>
      </c>
      <c r="AT53" s="35" t="str">
        <f>_xlfn.CONCAT(J53:AS53,"; ")</f>
        <v xml:space="preserve">0 0.15 0.15 0.1 0.8 0.7 0.65 -0.05 1 0 0 0 0 0 0 0 0 0 0 0 0 0 0 0 0 0 0 0 0 0 0 0 0 0 0 0 ; </v>
      </c>
      <c r="AU53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</v>
      </c>
    </row>
    <row r="54" spans="10:47">
      <c r="J54" s="35" t="str">
        <f t="shared" ref="J54:AS54" si="10">N(J15)&amp;" "</f>
        <v xml:space="preserve">0.65 </v>
      </c>
      <c r="K54" s="35" t="str">
        <f t="shared" si="10"/>
        <v xml:space="preserve">0.6 </v>
      </c>
      <c r="L54" s="35" t="str">
        <f t="shared" si="10"/>
        <v xml:space="preserve">0.6 </v>
      </c>
      <c r="M54" s="35" t="str">
        <f t="shared" si="10"/>
        <v xml:space="preserve">0.6 </v>
      </c>
      <c r="N54" s="35" t="str">
        <f t="shared" si="10"/>
        <v xml:space="preserve">0.19 </v>
      </c>
      <c r="O54" s="35" t="str">
        <f t="shared" si="10"/>
        <v xml:space="preserve">0.5 </v>
      </c>
      <c r="P54" s="35" t="str">
        <f t="shared" si="10"/>
        <v xml:space="preserve">-0.15 </v>
      </c>
      <c r="Q54" s="35" t="str">
        <f t="shared" si="10"/>
        <v xml:space="preserve">-0.15 </v>
      </c>
      <c r="R54" s="35" t="str">
        <f t="shared" si="10"/>
        <v xml:space="preserve">0.3 </v>
      </c>
      <c r="S54" s="35" t="str">
        <f t="shared" si="10"/>
        <v xml:space="preserve">1 </v>
      </c>
      <c r="T54" s="35" t="str">
        <f t="shared" si="10"/>
        <v xml:space="preserve">0 </v>
      </c>
      <c r="U54" s="35" t="str">
        <f t="shared" si="10"/>
        <v xml:space="preserve">0 </v>
      </c>
      <c r="V54" s="35" t="str">
        <f t="shared" si="10"/>
        <v xml:space="preserve">0 </v>
      </c>
      <c r="W54" s="35" t="str">
        <f t="shared" si="10"/>
        <v xml:space="preserve">0 </v>
      </c>
      <c r="X54" s="35" t="str">
        <f t="shared" si="10"/>
        <v xml:space="preserve">0 </v>
      </c>
      <c r="Y54" s="35" t="str">
        <f t="shared" si="10"/>
        <v xml:space="preserve">0 </v>
      </c>
      <c r="Z54" s="35" t="str">
        <f t="shared" si="10"/>
        <v xml:space="preserve">0 </v>
      </c>
      <c r="AA54" s="35" t="str">
        <f t="shared" si="10"/>
        <v xml:space="preserve">0 </v>
      </c>
      <c r="AB54" s="35" t="str">
        <f t="shared" si="10"/>
        <v xml:space="preserve">0 </v>
      </c>
      <c r="AC54" s="35" t="str">
        <f t="shared" si="10"/>
        <v xml:space="preserve">0 </v>
      </c>
      <c r="AD54" s="35" t="str">
        <f t="shared" si="10"/>
        <v xml:space="preserve">0 </v>
      </c>
      <c r="AE54" s="35" t="str">
        <f t="shared" si="10"/>
        <v xml:space="preserve">0 </v>
      </c>
      <c r="AF54" s="35" t="str">
        <f t="shared" si="10"/>
        <v xml:space="preserve">0 </v>
      </c>
      <c r="AG54" s="35" t="str">
        <f t="shared" si="10"/>
        <v xml:space="preserve">0 </v>
      </c>
      <c r="AH54" s="35" t="str">
        <f t="shared" si="10"/>
        <v xml:space="preserve">0 </v>
      </c>
      <c r="AI54" s="35" t="str">
        <f t="shared" si="10"/>
        <v xml:space="preserve">0 </v>
      </c>
      <c r="AJ54" s="35" t="str">
        <f t="shared" si="10"/>
        <v xml:space="preserve">0 </v>
      </c>
      <c r="AK54" s="35" t="str">
        <f t="shared" si="10"/>
        <v xml:space="preserve">0 </v>
      </c>
      <c r="AL54" s="35" t="str">
        <f t="shared" si="10"/>
        <v xml:space="preserve">0 </v>
      </c>
      <c r="AM54" s="35" t="str">
        <f t="shared" si="10"/>
        <v xml:space="preserve">0 </v>
      </c>
      <c r="AN54" s="35" t="str">
        <f t="shared" si="10"/>
        <v xml:space="preserve">0 </v>
      </c>
      <c r="AO54" s="35" t="str">
        <f t="shared" si="10"/>
        <v xml:space="preserve">0 </v>
      </c>
      <c r="AP54" s="35" t="str">
        <f t="shared" si="10"/>
        <v xml:space="preserve">0 </v>
      </c>
      <c r="AQ54" s="35" t="str">
        <f t="shared" si="10"/>
        <v xml:space="preserve">0 </v>
      </c>
      <c r="AR54" s="35" t="str">
        <f t="shared" si="10"/>
        <v xml:space="preserve">0 </v>
      </c>
      <c r="AS54" s="35" t="str">
        <f t="shared" si="10"/>
        <v xml:space="preserve">0 </v>
      </c>
      <c r="AT54" s="35" t="str">
        <f>_xlfn.CONCAT(J54:AS54,"; ")</f>
        <v xml:space="preserve">0.65 0.6 0.6 0.6 0.19 0.5 -0.15 -0.15 0.3 1 0 0 0 0 0 0 0 0 0 0 0 0 0 0 0 0 0 0 0 0 0 0 0 0 0 0 ; </v>
      </c>
      <c r="AU54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</v>
      </c>
    </row>
    <row r="55" spans="10:47">
      <c r="J55" s="35" t="str">
        <f t="shared" ref="J55:AS55" si="11">N(J16)&amp;" "</f>
        <v xml:space="preserve">0.55 </v>
      </c>
      <c r="K55" s="35" t="str">
        <f t="shared" si="11"/>
        <v xml:space="preserve">0.1 </v>
      </c>
      <c r="L55" s="35" t="str">
        <f t="shared" si="11"/>
        <v xml:space="preserve">0.4 </v>
      </c>
      <c r="M55" s="35" t="str">
        <f t="shared" si="11"/>
        <v xml:space="preserve">0.4 </v>
      </c>
      <c r="N55" s="35" t="str">
        <f t="shared" si="11"/>
        <v xml:space="preserve">0.05 </v>
      </c>
      <c r="O55" s="35" t="str">
        <f t="shared" si="11"/>
        <v xml:space="preserve">0.3 </v>
      </c>
      <c r="P55" s="35" t="str">
        <f t="shared" si="11"/>
        <v xml:space="preserve">-0.2 </v>
      </c>
      <c r="Q55" s="35" t="str">
        <f t="shared" si="11"/>
        <v xml:space="preserve">0.2 </v>
      </c>
      <c r="R55" s="35" t="str">
        <f t="shared" si="11"/>
        <v xml:space="preserve">0.3 </v>
      </c>
      <c r="S55" s="35" t="str">
        <f t="shared" si="11"/>
        <v xml:space="preserve">0.8 </v>
      </c>
      <c r="T55" s="35" t="str">
        <f t="shared" si="11"/>
        <v xml:space="preserve">1 </v>
      </c>
      <c r="U55" s="35" t="str">
        <f t="shared" si="11"/>
        <v xml:space="preserve">0 </v>
      </c>
      <c r="V55" s="35" t="str">
        <f t="shared" si="11"/>
        <v xml:space="preserve">0 </v>
      </c>
      <c r="W55" s="35" t="str">
        <f t="shared" si="11"/>
        <v xml:space="preserve">0 </v>
      </c>
      <c r="X55" s="35" t="str">
        <f t="shared" si="11"/>
        <v xml:space="preserve">0 </v>
      </c>
      <c r="Y55" s="35" t="str">
        <f t="shared" si="11"/>
        <v xml:space="preserve">0 </v>
      </c>
      <c r="Z55" s="35" t="str">
        <f t="shared" si="11"/>
        <v xml:space="preserve">0 </v>
      </c>
      <c r="AA55" s="35" t="str">
        <f t="shared" si="11"/>
        <v xml:space="preserve">0 </v>
      </c>
      <c r="AB55" s="35" t="str">
        <f t="shared" si="11"/>
        <v xml:space="preserve">0 </v>
      </c>
      <c r="AC55" s="35" t="str">
        <f t="shared" si="11"/>
        <v xml:space="preserve">0 </v>
      </c>
      <c r="AD55" s="35" t="str">
        <f t="shared" si="11"/>
        <v xml:space="preserve">0 </v>
      </c>
      <c r="AE55" s="35" t="str">
        <f t="shared" si="11"/>
        <v xml:space="preserve">0 </v>
      </c>
      <c r="AF55" s="35" t="str">
        <f t="shared" si="11"/>
        <v xml:space="preserve">0 </v>
      </c>
      <c r="AG55" s="35" t="str">
        <f t="shared" si="11"/>
        <v xml:space="preserve">0 </v>
      </c>
      <c r="AH55" s="35" t="str">
        <f t="shared" si="11"/>
        <v xml:space="preserve">0 </v>
      </c>
      <c r="AI55" s="35" t="str">
        <f t="shared" si="11"/>
        <v xml:space="preserve">0 </v>
      </c>
      <c r="AJ55" s="35" t="str">
        <f t="shared" si="11"/>
        <v xml:space="preserve">0 </v>
      </c>
      <c r="AK55" s="35" t="str">
        <f t="shared" si="11"/>
        <v xml:space="preserve">0 </v>
      </c>
      <c r="AL55" s="35" t="str">
        <f t="shared" si="11"/>
        <v xml:space="preserve">0 </v>
      </c>
      <c r="AM55" s="35" t="str">
        <f t="shared" si="11"/>
        <v xml:space="preserve">0 </v>
      </c>
      <c r="AN55" s="35" t="str">
        <f t="shared" si="11"/>
        <v xml:space="preserve">0 </v>
      </c>
      <c r="AO55" s="35" t="str">
        <f t="shared" si="11"/>
        <v xml:space="preserve">0 </v>
      </c>
      <c r="AP55" s="35" t="str">
        <f t="shared" si="11"/>
        <v xml:space="preserve">0 </v>
      </c>
      <c r="AQ55" s="35" t="str">
        <f t="shared" si="11"/>
        <v xml:space="preserve">0 </v>
      </c>
      <c r="AR55" s="35" t="str">
        <f t="shared" si="11"/>
        <v xml:space="preserve">0 </v>
      </c>
      <c r="AS55" s="35" t="str">
        <f t="shared" si="11"/>
        <v xml:space="preserve">0 </v>
      </c>
      <c r="AT55" s="35" t="str">
        <f>_xlfn.CONCAT(J55:AS55,"; ")</f>
        <v xml:space="preserve">0.55 0.1 0.4 0.4 0.05 0.3 -0.2 0.2 0.3 0.8 1 0 0 0 0 0 0 0 0 0 0 0 0 0 0 0 0 0 0 0 0 0 0 0 0 0 ; </v>
      </c>
      <c r="AU55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</v>
      </c>
    </row>
    <row r="56" spans="10:47">
      <c r="J56" s="35" t="str">
        <f t="shared" ref="J56:AS56" si="12">N(J17)&amp;" "</f>
        <v xml:space="preserve">0.55 </v>
      </c>
      <c r="K56" s="35" t="str">
        <f t="shared" si="12"/>
        <v xml:space="preserve">0.6 </v>
      </c>
      <c r="L56" s="35" t="str">
        <f t="shared" si="12"/>
        <v xml:space="preserve">0.6 </v>
      </c>
      <c r="M56" s="35" t="str">
        <f t="shared" si="12"/>
        <v xml:space="preserve">0.6 </v>
      </c>
      <c r="N56" s="35" t="str">
        <f t="shared" si="12"/>
        <v xml:space="preserve">0.55 </v>
      </c>
      <c r="O56" s="35" t="str">
        <f t="shared" si="12"/>
        <v xml:space="preserve">0.75 </v>
      </c>
      <c r="P56" s="35" t="str">
        <f t="shared" si="12"/>
        <v xml:space="preserve">0.3 </v>
      </c>
      <c r="Q56" s="35" t="str">
        <f t="shared" si="12"/>
        <v xml:space="preserve">-0.15 </v>
      </c>
      <c r="R56" s="35" t="str">
        <f t="shared" si="12"/>
        <v xml:space="preserve">0.55 </v>
      </c>
      <c r="S56" s="35" t="str">
        <f t="shared" si="12"/>
        <v xml:space="preserve">0.7 </v>
      </c>
      <c r="T56" s="35" t="str">
        <f t="shared" si="12"/>
        <v xml:space="preserve">0.4 </v>
      </c>
      <c r="U56" s="35" t="str">
        <f t="shared" si="12"/>
        <v xml:space="preserve">1 </v>
      </c>
      <c r="V56" s="35" t="str">
        <f t="shared" si="12"/>
        <v xml:space="preserve">0 </v>
      </c>
      <c r="W56" s="35" t="str">
        <f t="shared" si="12"/>
        <v xml:space="preserve">0 </v>
      </c>
      <c r="X56" s="35" t="str">
        <f t="shared" si="12"/>
        <v xml:space="preserve">0 </v>
      </c>
      <c r="Y56" s="35" t="str">
        <f t="shared" si="12"/>
        <v xml:space="preserve">0 </v>
      </c>
      <c r="Z56" s="35" t="str">
        <f t="shared" si="12"/>
        <v xml:space="preserve">0 </v>
      </c>
      <c r="AA56" s="35" t="str">
        <f t="shared" si="12"/>
        <v xml:space="preserve">0 </v>
      </c>
      <c r="AB56" s="35" t="str">
        <f t="shared" si="12"/>
        <v xml:space="preserve">0 </v>
      </c>
      <c r="AC56" s="35" t="str">
        <f t="shared" si="12"/>
        <v xml:space="preserve">0 </v>
      </c>
      <c r="AD56" s="35" t="str">
        <f t="shared" si="12"/>
        <v xml:space="preserve">0 </v>
      </c>
      <c r="AE56" s="35" t="str">
        <f t="shared" si="12"/>
        <v xml:space="preserve">0 </v>
      </c>
      <c r="AF56" s="35" t="str">
        <f t="shared" si="12"/>
        <v xml:space="preserve">0 </v>
      </c>
      <c r="AG56" s="35" t="str">
        <f t="shared" si="12"/>
        <v xml:space="preserve">0 </v>
      </c>
      <c r="AH56" s="35" t="str">
        <f t="shared" si="12"/>
        <v xml:space="preserve">0 </v>
      </c>
      <c r="AI56" s="35" t="str">
        <f t="shared" si="12"/>
        <v xml:space="preserve">0 </v>
      </c>
      <c r="AJ56" s="35" t="str">
        <f t="shared" si="12"/>
        <v xml:space="preserve">0 </v>
      </c>
      <c r="AK56" s="35" t="str">
        <f t="shared" si="12"/>
        <v xml:space="preserve">0 </v>
      </c>
      <c r="AL56" s="35" t="str">
        <f t="shared" si="12"/>
        <v xml:space="preserve">0 </v>
      </c>
      <c r="AM56" s="35" t="str">
        <f t="shared" si="12"/>
        <v xml:space="preserve">0 </v>
      </c>
      <c r="AN56" s="35" t="str">
        <f t="shared" si="12"/>
        <v xml:space="preserve">0 </v>
      </c>
      <c r="AO56" s="35" t="str">
        <f t="shared" si="12"/>
        <v xml:space="preserve">0 </v>
      </c>
      <c r="AP56" s="35" t="str">
        <f t="shared" si="12"/>
        <v xml:space="preserve">0 </v>
      </c>
      <c r="AQ56" s="35" t="str">
        <f t="shared" si="12"/>
        <v xml:space="preserve">0 </v>
      </c>
      <c r="AR56" s="35" t="str">
        <f t="shared" si="12"/>
        <v xml:space="preserve">0 </v>
      </c>
      <c r="AS56" s="35" t="str">
        <f t="shared" si="12"/>
        <v xml:space="preserve">0 </v>
      </c>
      <c r="AT56" s="35" t="str">
        <f>_xlfn.CONCAT(J56:AS56,"; ")</f>
        <v xml:space="preserve">0.55 0.6 0.6 0.6 0.55 0.75 0.3 -0.15 0.55 0.7 0.4 1 0 0 0 0 0 0 0 0 0 0 0 0 0 0 0 0 0 0 0 0 0 0 0 0 ; </v>
      </c>
      <c r="AU56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</v>
      </c>
    </row>
    <row r="57" spans="10:47">
      <c r="J57" s="35" t="str">
        <f t="shared" ref="J57:AS57" si="13">N(J18)&amp;" "</f>
        <v xml:space="preserve">0.5 </v>
      </c>
      <c r="K57" s="35" t="str">
        <f t="shared" si="13"/>
        <v xml:space="preserve">0.45 </v>
      </c>
      <c r="L57" s="35" t="str">
        <f t="shared" si="13"/>
        <v xml:space="preserve">0.4 </v>
      </c>
      <c r="M57" s="35" t="str">
        <f t="shared" si="13"/>
        <v xml:space="preserve">0.45 </v>
      </c>
      <c r="N57" s="35" t="str">
        <f t="shared" si="13"/>
        <v xml:space="preserve">0 </v>
      </c>
      <c r="O57" s="35" t="str">
        <f t="shared" si="13"/>
        <v xml:space="preserve">0.15 </v>
      </c>
      <c r="P57" s="35" t="str">
        <f t="shared" si="13"/>
        <v xml:space="preserve">-0.1 </v>
      </c>
      <c r="Q57" s="35" t="str">
        <f t="shared" si="13"/>
        <v xml:space="preserve">0 </v>
      </c>
      <c r="R57" s="35" t="str">
        <f t="shared" si="13"/>
        <v xml:space="preserve">0.3 </v>
      </c>
      <c r="S57" s="35" t="str">
        <f t="shared" si="13"/>
        <v xml:space="preserve">0.65 </v>
      </c>
      <c r="T57" s="35" t="str">
        <f t="shared" si="13"/>
        <v xml:space="preserve">0.4 </v>
      </c>
      <c r="U57" s="35" t="str">
        <f t="shared" si="13"/>
        <v xml:space="preserve">0.25 </v>
      </c>
      <c r="V57" s="35" t="str">
        <f t="shared" si="13"/>
        <v xml:space="preserve">1 </v>
      </c>
      <c r="W57" s="35" t="str">
        <f t="shared" si="13"/>
        <v xml:space="preserve">0 </v>
      </c>
      <c r="X57" s="35" t="str">
        <f t="shared" si="13"/>
        <v xml:space="preserve">0 </v>
      </c>
      <c r="Y57" s="35" t="str">
        <f t="shared" si="13"/>
        <v xml:space="preserve">0 </v>
      </c>
      <c r="Z57" s="35" t="str">
        <f t="shared" si="13"/>
        <v xml:space="preserve">0 </v>
      </c>
      <c r="AA57" s="35" t="str">
        <f t="shared" si="13"/>
        <v xml:space="preserve">0 </v>
      </c>
      <c r="AB57" s="35" t="str">
        <f t="shared" si="13"/>
        <v xml:space="preserve">0 </v>
      </c>
      <c r="AC57" s="35" t="str">
        <f t="shared" si="13"/>
        <v xml:space="preserve">0 </v>
      </c>
      <c r="AD57" s="35" t="str">
        <f t="shared" si="13"/>
        <v xml:space="preserve">0 </v>
      </c>
      <c r="AE57" s="35" t="str">
        <f t="shared" si="13"/>
        <v xml:space="preserve">0 </v>
      </c>
      <c r="AF57" s="35" t="str">
        <f t="shared" si="13"/>
        <v xml:space="preserve">0 </v>
      </c>
      <c r="AG57" s="35" t="str">
        <f t="shared" si="13"/>
        <v xml:space="preserve">0 </v>
      </c>
      <c r="AH57" s="35" t="str">
        <f t="shared" si="13"/>
        <v xml:space="preserve">0 </v>
      </c>
      <c r="AI57" s="35" t="str">
        <f t="shared" si="13"/>
        <v xml:space="preserve">0 </v>
      </c>
      <c r="AJ57" s="35" t="str">
        <f t="shared" si="13"/>
        <v xml:space="preserve">0 </v>
      </c>
      <c r="AK57" s="35" t="str">
        <f t="shared" si="13"/>
        <v xml:space="preserve">0 </v>
      </c>
      <c r="AL57" s="35" t="str">
        <f t="shared" si="13"/>
        <v xml:space="preserve">0 </v>
      </c>
      <c r="AM57" s="35" t="str">
        <f t="shared" si="13"/>
        <v xml:space="preserve">0 </v>
      </c>
      <c r="AN57" s="35" t="str">
        <f t="shared" si="13"/>
        <v xml:space="preserve">0 </v>
      </c>
      <c r="AO57" s="35" t="str">
        <f t="shared" si="13"/>
        <v xml:space="preserve">0 </v>
      </c>
      <c r="AP57" s="35" t="str">
        <f t="shared" si="13"/>
        <v xml:space="preserve">0 </v>
      </c>
      <c r="AQ57" s="35" t="str">
        <f t="shared" si="13"/>
        <v xml:space="preserve">0 </v>
      </c>
      <c r="AR57" s="35" t="str">
        <f t="shared" si="13"/>
        <v xml:space="preserve">0 </v>
      </c>
      <c r="AS57" s="35" t="str">
        <f t="shared" si="13"/>
        <v xml:space="preserve">0 </v>
      </c>
      <c r="AT57" s="35" t="str">
        <f>_xlfn.CONCAT(J57:AS57,"; ")</f>
        <v xml:space="preserve">0.5 0.45 0.4 0.45 0 0.15 -0.1 0 0.3 0.65 0.4 0.25 1 0 0 0 0 0 0 0 0 0 0 0 0 0 0 0 0 0 0 0 0 0 0 0 ; </v>
      </c>
      <c r="AU57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</v>
      </c>
    </row>
    <row r="58" spans="10:47">
      <c r="J58" s="35" t="str">
        <f t="shared" ref="J58:AS58" si="14">N(J19)&amp;" "</f>
        <v xml:space="preserve">0.7 </v>
      </c>
      <c r="K58" s="35" t="str">
        <f t="shared" si="14"/>
        <v xml:space="preserve">0.65 </v>
      </c>
      <c r="L58" s="35" t="str">
        <f t="shared" si="14"/>
        <v xml:space="preserve">0.65 </v>
      </c>
      <c r="M58" s="35" t="str">
        <f t="shared" si="14"/>
        <v xml:space="preserve">0.65 </v>
      </c>
      <c r="N58" s="35" t="str">
        <f t="shared" si="14"/>
        <v xml:space="preserve">0.15 </v>
      </c>
      <c r="O58" s="35" t="str">
        <f t="shared" si="14"/>
        <v xml:space="preserve">0.15 </v>
      </c>
      <c r="P58" s="35" t="str">
        <f t="shared" si="14"/>
        <v xml:space="preserve">0 </v>
      </c>
      <c r="Q58" s="35" t="str">
        <f t="shared" si="14"/>
        <v xml:space="preserve">-0.15 </v>
      </c>
      <c r="R58" s="35" t="str">
        <f t="shared" si="14"/>
        <v xml:space="preserve">0.2 </v>
      </c>
      <c r="S58" s="35" t="str">
        <f t="shared" si="14"/>
        <v xml:space="preserve">0.65 </v>
      </c>
      <c r="T58" s="35" t="str">
        <f t="shared" si="14"/>
        <v xml:space="preserve">0.4 </v>
      </c>
      <c r="U58" s="35" t="str">
        <f t="shared" si="14"/>
        <v xml:space="preserve">0.5 </v>
      </c>
      <c r="V58" s="35" t="str">
        <f t="shared" si="14"/>
        <v xml:space="preserve">0.75 </v>
      </c>
      <c r="W58" s="35" t="str">
        <f t="shared" si="14"/>
        <v xml:space="preserve">1 </v>
      </c>
      <c r="X58" s="35" t="str">
        <f t="shared" si="14"/>
        <v xml:space="preserve">0 </v>
      </c>
      <c r="Y58" s="35" t="str">
        <f t="shared" si="14"/>
        <v xml:space="preserve">0 </v>
      </c>
      <c r="Z58" s="35" t="str">
        <f t="shared" si="14"/>
        <v xml:space="preserve">0 </v>
      </c>
      <c r="AA58" s="35" t="str">
        <f t="shared" si="14"/>
        <v xml:space="preserve">0 </v>
      </c>
      <c r="AB58" s="35" t="str">
        <f t="shared" si="14"/>
        <v xml:space="preserve">0 </v>
      </c>
      <c r="AC58" s="35" t="str">
        <f t="shared" si="14"/>
        <v xml:space="preserve">0 </v>
      </c>
      <c r="AD58" s="35" t="str">
        <f t="shared" si="14"/>
        <v xml:space="preserve">0 </v>
      </c>
      <c r="AE58" s="35" t="str">
        <f t="shared" si="14"/>
        <v xml:space="preserve">0 </v>
      </c>
      <c r="AF58" s="35" t="str">
        <f t="shared" si="14"/>
        <v xml:space="preserve">0 </v>
      </c>
      <c r="AG58" s="35" t="str">
        <f t="shared" si="14"/>
        <v xml:space="preserve">0 </v>
      </c>
      <c r="AH58" s="35" t="str">
        <f t="shared" si="14"/>
        <v xml:space="preserve">0 </v>
      </c>
      <c r="AI58" s="35" t="str">
        <f t="shared" si="14"/>
        <v xml:space="preserve">0 </v>
      </c>
      <c r="AJ58" s="35" t="str">
        <f t="shared" si="14"/>
        <v xml:space="preserve">0 </v>
      </c>
      <c r="AK58" s="35" t="str">
        <f t="shared" si="14"/>
        <v xml:space="preserve">0 </v>
      </c>
      <c r="AL58" s="35" t="str">
        <f t="shared" si="14"/>
        <v xml:space="preserve">0 </v>
      </c>
      <c r="AM58" s="35" t="str">
        <f t="shared" si="14"/>
        <v xml:space="preserve">0 </v>
      </c>
      <c r="AN58" s="35" t="str">
        <f t="shared" si="14"/>
        <v xml:space="preserve">0 </v>
      </c>
      <c r="AO58" s="35" t="str">
        <f t="shared" si="14"/>
        <v xml:space="preserve">0 </v>
      </c>
      <c r="AP58" s="35" t="str">
        <f t="shared" si="14"/>
        <v xml:space="preserve">0 </v>
      </c>
      <c r="AQ58" s="35" t="str">
        <f t="shared" si="14"/>
        <v xml:space="preserve">0 </v>
      </c>
      <c r="AR58" s="35" t="str">
        <f t="shared" si="14"/>
        <v xml:space="preserve">0 </v>
      </c>
      <c r="AS58" s="35" t="str">
        <f t="shared" si="14"/>
        <v xml:space="preserve">0 </v>
      </c>
      <c r="AT58" s="35" t="str">
        <f>_xlfn.CONCAT(J58:AS58,"; ")</f>
        <v xml:space="preserve">0.7 0.65 0.65 0.65 0.15 0.15 0 -0.15 0.2 0.65 0.4 0.5 0.75 1 0 0 0 0 0 0 0 0 0 0 0 0 0 0 0 0 0 0 0 0 0 0 ; </v>
      </c>
      <c r="AU58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</v>
      </c>
    </row>
    <row r="59" spans="10:47">
      <c r="J59" s="35" t="str">
        <f t="shared" ref="J59:AS59" si="15">N(J20)&amp;" "</f>
        <v xml:space="preserve">0.5 </v>
      </c>
      <c r="K59" s="35" t="str">
        <f t="shared" si="15"/>
        <v xml:space="preserve">0.45 </v>
      </c>
      <c r="L59" s="35" t="str">
        <f t="shared" si="15"/>
        <v xml:space="preserve">0.4 </v>
      </c>
      <c r="M59" s="35" t="str">
        <f t="shared" si="15"/>
        <v xml:space="preserve">0.45 </v>
      </c>
      <c r="N59" s="35" t="str">
        <f t="shared" si="15"/>
        <v xml:space="preserve">0 </v>
      </c>
      <c r="O59" s="35" t="str">
        <f t="shared" si="15"/>
        <v xml:space="preserve">0.05 </v>
      </c>
      <c r="P59" s="35" t="str">
        <f t="shared" si="15"/>
        <v xml:space="preserve">0.05 </v>
      </c>
      <c r="Q59" s="35" t="str">
        <f t="shared" si="15"/>
        <v xml:space="preserve">0 </v>
      </c>
      <c r="R59" s="35" t="str">
        <f t="shared" si="15"/>
        <v xml:space="preserve">0 </v>
      </c>
      <c r="S59" s="35" t="str">
        <f t="shared" si="15"/>
        <v xml:space="preserve">0.7 </v>
      </c>
      <c r="T59" s="35" t="str">
        <f t="shared" si="15"/>
        <v xml:space="preserve">0.5 </v>
      </c>
      <c r="U59" s="35" t="str">
        <f t="shared" si="15"/>
        <v xml:space="preserve">0.1 </v>
      </c>
      <c r="V59" s="35" t="str">
        <f t="shared" si="15"/>
        <v xml:space="preserve">0.75 </v>
      </c>
      <c r="W59" s="35" t="str">
        <f t="shared" si="15"/>
        <v xml:space="preserve">0.65 </v>
      </c>
      <c r="X59" s="35" t="str">
        <f t="shared" si="15"/>
        <v xml:space="preserve">1 </v>
      </c>
      <c r="Y59" s="35" t="str">
        <f t="shared" si="15"/>
        <v xml:space="preserve">0 </v>
      </c>
      <c r="Z59" s="35" t="str">
        <f t="shared" si="15"/>
        <v xml:space="preserve">0 </v>
      </c>
      <c r="AA59" s="35" t="str">
        <f t="shared" si="15"/>
        <v xml:space="preserve">0 </v>
      </c>
      <c r="AB59" s="35" t="str">
        <f t="shared" si="15"/>
        <v xml:space="preserve">0 </v>
      </c>
      <c r="AC59" s="35" t="str">
        <f t="shared" si="15"/>
        <v xml:space="preserve">0 </v>
      </c>
      <c r="AD59" s="35" t="str">
        <f t="shared" si="15"/>
        <v xml:space="preserve">0 </v>
      </c>
      <c r="AE59" s="35" t="str">
        <f t="shared" si="15"/>
        <v xml:space="preserve">0 </v>
      </c>
      <c r="AF59" s="35" t="str">
        <f t="shared" si="15"/>
        <v xml:space="preserve">0 </v>
      </c>
      <c r="AG59" s="35" t="str">
        <f t="shared" si="15"/>
        <v xml:space="preserve">0 </v>
      </c>
      <c r="AH59" s="35" t="str">
        <f t="shared" si="15"/>
        <v xml:space="preserve">0 </v>
      </c>
      <c r="AI59" s="35" t="str">
        <f t="shared" si="15"/>
        <v xml:space="preserve">0 </v>
      </c>
      <c r="AJ59" s="35" t="str">
        <f t="shared" si="15"/>
        <v xml:space="preserve">0 </v>
      </c>
      <c r="AK59" s="35" t="str">
        <f t="shared" si="15"/>
        <v xml:space="preserve">0 </v>
      </c>
      <c r="AL59" s="35" t="str">
        <f t="shared" si="15"/>
        <v xml:space="preserve">0 </v>
      </c>
      <c r="AM59" s="35" t="str">
        <f t="shared" si="15"/>
        <v xml:space="preserve">0 </v>
      </c>
      <c r="AN59" s="35" t="str">
        <f t="shared" si="15"/>
        <v xml:space="preserve">0 </v>
      </c>
      <c r="AO59" s="35" t="str">
        <f t="shared" si="15"/>
        <v xml:space="preserve">0 </v>
      </c>
      <c r="AP59" s="35" t="str">
        <f t="shared" si="15"/>
        <v xml:space="preserve">0 </v>
      </c>
      <c r="AQ59" s="35" t="str">
        <f t="shared" si="15"/>
        <v xml:space="preserve">0 </v>
      </c>
      <c r="AR59" s="35" t="str">
        <f t="shared" si="15"/>
        <v xml:space="preserve">0 </v>
      </c>
      <c r="AS59" s="35" t="str">
        <f t="shared" si="15"/>
        <v xml:space="preserve">0 </v>
      </c>
      <c r="AT59" s="35" t="str">
        <f>_xlfn.CONCAT(J59:AS59,"; ")</f>
        <v xml:space="preserve">0.5 0.45 0.4 0.45 0 0.05 0.05 0 0 0.7 0.5 0.1 0.75 0.65 1 0 0 0 0 0 0 0 0 0 0 0 0 0 0 0 0 0 0 0 0 0 ; </v>
      </c>
      <c r="AU59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</v>
      </c>
    </row>
    <row r="60" spans="10:47">
      <c r="J60" s="35" t="str">
        <f t="shared" ref="J60:AS60" si="16">N(J21)&amp;" "</f>
        <v xml:space="preserve">0.8 </v>
      </c>
      <c r="K60" s="35" t="str">
        <f t="shared" si="16"/>
        <v xml:space="preserve">0.7 </v>
      </c>
      <c r="L60" s="35" t="str">
        <f t="shared" si="16"/>
        <v xml:space="preserve">0.6 </v>
      </c>
      <c r="M60" s="35" t="str">
        <f t="shared" si="16"/>
        <v xml:space="preserve">0.7 </v>
      </c>
      <c r="N60" s="35" t="str">
        <f t="shared" si="16"/>
        <v xml:space="preserve">0 </v>
      </c>
      <c r="O60" s="35" t="str">
        <f t="shared" si="16"/>
        <v xml:space="preserve">0.25 </v>
      </c>
      <c r="P60" s="35" t="str">
        <f t="shared" si="16"/>
        <v xml:space="preserve">-0.2 </v>
      </c>
      <c r="Q60" s="35" t="str">
        <f t="shared" si="16"/>
        <v xml:space="preserve">0 </v>
      </c>
      <c r="R60" s="35" t="str">
        <f t="shared" si="16"/>
        <v xml:space="preserve">0 </v>
      </c>
      <c r="S60" s="35" t="str">
        <f t="shared" si="16"/>
        <v xml:space="preserve">0.65 </v>
      </c>
      <c r="T60" s="35" t="str">
        <f t="shared" si="16"/>
        <v xml:space="preserve">0.5 </v>
      </c>
      <c r="U60" s="35" t="str">
        <f t="shared" si="16"/>
        <v xml:space="preserve">0.25 </v>
      </c>
      <c r="V60" s="35" t="str">
        <f t="shared" si="16"/>
        <v xml:space="preserve">0.7 </v>
      </c>
      <c r="W60" s="35" t="str">
        <f t="shared" si="16"/>
        <v xml:space="preserve">0.6 </v>
      </c>
      <c r="X60" s="35" t="str">
        <f t="shared" si="16"/>
        <v xml:space="preserve">0.6 </v>
      </c>
      <c r="Y60" s="35" t="str">
        <f t="shared" si="16"/>
        <v xml:space="preserve">1 </v>
      </c>
      <c r="Z60" s="35" t="str">
        <f t="shared" si="16"/>
        <v xml:space="preserve">0 </v>
      </c>
      <c r="AA60" s="35" t="str">
        <f t="shared" si="16"/>
        <v xml:space="preserve">0 </v>
      </c>
      <c r="AB60" s="35" t="str">
        <f t="shared" si="16"/>
        <v xml:space="preserve">0 </v>
      </c>
      <c r="AC60" s="35" t="str">
        <f t="shared" si="16"/>
        <v xml:space="preserve">0 </v>
      </c>
      <c r="AD60" s="35" t="str">
        <f t="shared" si="16"/>
        <v xml:space="preserve">0 </v>
      </c>
      <c r="AE60" s="35" t="str">
        <f t="shared" si="16"/>
        <v xml:space="preserve">0 </v>
      </c>
      <c r="AF60" s="35" t="str">
        <f t="shared" si="16"/>
        <v xml:space="preserve">0 </v>
      </c>
      <c r="AG60" s="35" t="str">
        <f t="shared" si="16"/>
        <v xml:space="preserve">0 </v>
      </c>
      <c r="AH60" s="35" t="str">
        <f t="shared" si="16"/>
        <v xml:space="preserve">0 </v>
      </c>
      <c r="AI60" s="35" t="str">
        <f t="shared" si="16"/>
        <v xml:space="preserve">0 </v>
      </c>
      <c r="AJ60" s="35" t="str">
        <f t="shared" si="16"/>
        <v xml:space="preserve">0 </v>
      </c>
      <c r="AK60" s="35" t="str">
        <f t="shared" si="16"/>
        <v xml:space="preserve">0 </v>
      </c>
      <c r="AL60" s="35" t="str">
        <f t="shared" si="16"/>
        <v xml:space="preserve">0 </v>
      </c>
      <c r="AM60" s="35" t="str">
        <f t="shared" si="16"/>
        <v xml:space="preserve">0 </v>
      </c>
      <c r="AN60" s="35" t="str">
        <f t="shared" si="16"/>
        <v xml:space="preserve">0 </v>
      </c>
      <c r="AO60" s="35" t="str">
        <f t="shared" si="16"/>
        <v xml:space="preserve">0 </v>
      </c>
      <c r="AP60" s="35" t="str">
        <f t="shared" si="16"/>
        <v xml:space="preserve">0 </v>
      </c>
      <c r="AQ60" s="35" t="str">
        <f t="shared" si="16"/>
        <v xml:space="preserve">0 </v>
      </c>
      <c r="AR60" s="35" t="str">
        <f t="shared" si="16"/>
        <v xml:space="preserve">0 </v>
      </c>
      <c r="AS60" s="35" t="str">
        <f t="shared" si="16"/>
        <v xml:space="preserve">0 </v>
      </c>
      <c r="AT60" s="35" t="str">
        <f>_xlfn.CONCAT(J60:AS60,"; ")</f>
        <v xml:space="preserve">0.8 0.7 0.6 0.7 0 0.25 -0.2 0 0 0.65 0.5 0.25 0.7 0.6 0.6 1 0 0 0 0 0 0 0 0 0 0 0 0 0 0 0 0 0 0 0 0 ; </v>
      </c>
      <c r="AU60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</v>
      </c>
    </row>
    <row r="61" spans="10:47">
      <c r="J61" s="35" t="str">
        <f t="shared" ref="J61:AS61" si="17">N(J22)&amp;" "</f>
        <v xml:space="preserve">0.7 </v>
      </c>
      <c r="K61" s="35" t="str">
        <f t="shared" si="17"/>
        <v xml:space="preserve">0.7 </v>
      </c>
      <c r="L61" s="35" t="str">
        <f t="shared" si="17"/>
        <v xml:space="preserve">0.65 </v>
      </c>
      <c r="M61" s="35" t="str">
        <f t="shared" si="17"/>
        <v xml:space="preserve">0.7 </v>
      </c>
      <c r="N61" s="35" t="str">
        <f t="shared" si="17"/>
        <v xml:space="preserve">0 </v>
      </c>
      <c r="O61" s="35" t="str">
        <f t="shared" si="17"/>
        <v xml:space="preserve">0.3 </v>
      </c>
      <c r="P61" s="35" t="str">
        <f t="shared" si="17"/>
        <v xml:space="preserve">-0.25 </v>
      </c>
      <c r="Q61" s="35" t="str">
        <f t="shared" si="17"/>
        <v xml:space="preserve">-0.1 </v>
      </c>
      <c r="R61" s="35" t="str">
        <f t="shared" si="17"/>
        <v xml:space="preserve">0.15 </v>
      </c>
      <c r="S61" s="35" t="str">
        <f t="shared" si="17"/>
        <v xml:space="preserve">0.7 </v>
      </c>
      <c r="T61" s="35" t="str">
        <f t="shared" si="17"/>
        <v xml:space="preserve">0.8 </v>
      </c>
      <c r="U61" s="35" t="str">
        <f t="shared" si="17"/>
        <v xml:space="preserve">0.55 </v>
      </c>
      <c r="V61" s="35" t="str">
        <f t="shared" si="17"/>
        <v xml:space="preserve">0.2 </v>
      </c>
      <c r="W61" s="35" t="str">
        <f t="shared" si="17"/>
        <v xml:space="preserve">0.55 </v>
      </c>
      <c r="X61" s="35" t="str">
        <f t="shared" si="17"/>
        <v xml:space="preserve">0.2 </v>
      </c>
      <c r="Y61" s="35" t="str">
        <f t="shared" si="17"/>
        <v xml:space="preserve">0.3 </v>
      </c>
      <c r="Z61" s="35" t="str">
        <f t="shared" si="17"/>
        <v xml:space="preserve">1 </v>
      </c>
      <c r="AA61" s="35" t="str">
        <f t="shared" si="17"/>
        <v xml:space="preserve">0 </v>
      </c>
      <c r="AB61" s="35" t="str">
        <f t="shared" si="17"/>
        <v xml:space="preserve">0 </v>
      </c>
      <c r="AC61" s="35" t="str">
        <f t="shared" si="17"/>
        <v xml:space="preserve">0 </v>
      </c>
      <c r="AD61" s="35" t="str">
        <f t="shared" si="17"/>
        <v xml:space="preserve">0 </v>
      </c>
      <c r="AE61" s="35" t="str">
        <f t="shared" si="17"/>
        <v xml:space="preserve">0 </v>
      </c>
      <c r="AF61" s="35" t="str">
        <f t="shared" si="17"/>
        <v xml:space="preserve">0 </v>
      </c>
      <c r="AG61" s="35" t="str">
        <f t="shared" si="17"/>
        <v xml:space="preserve">0 </v>
      </c>
      <c r="AH61" s="35" t="str">
        <f t="shared" si="17"/>
        <v xml:space="preserve">0 </v>
      </c>
      <c r="AI61" s="35" t="str">
        <f t="shared" si="17"/>
        <v xml:space="preserve">0 </v>
      </c>
      <c r="AJ61" s="35" t="str">
        <f t="shared" si="17"/>
        <v xml:space="preserve">0 </v>
      </c>
      <c r="AK61" s="35" t="str">
        <f t="shared" si="17"/>
        <v xml:space="preserve">0 </v>
      </c>
      <c r="AL61" s="35" t="str">
        <f t="shared" si="17"/>
        <v xml:space="preserve">0 </v>
      </c>
      <c r="AM61" s="35" t="str">
        <f t="shared" si="17"/>
        <v xml:space="preserve">0 </v>
      </c>
      <c r="AN61" s="35" t="str">
        <f t="shared" si="17"/>
        <v xml:space="preserve">0 </v>
      </c>
      <c r="AO61" s="35" t="str">
        <f t="shared" si="17"/>
        <v xml:space="preserve">0 </v>
      </c>
      <c r="AP61" s="35" t="str">
        <f t="shared" si="17"/>
        <v xml:space="preserve">0 </v>
      </c>
      <c r="AQ61" s="35" t="str">
        <f t="shared" si="17"/>
        <v xml:space="preserve">0 </v>
      </c>
      <c r="AR61" s="35" t="str">
        <f t="shared" si="17"/>
        <v xml:space="preserve">0 </v>
      </c>
      <c r="AS61" s="35" t="str">
        <f t="shared" si="17"/>
        <v xml:space="preserve">0 </v>
      </c>
      <c r="AT61" s="35" t="str">
        <f>_xlfn.CONCAT(J61:AS61,"; ")</f>
        <v xml:space="preserve">0.7 0.7 0.65 0.7 0 0.3 -0.25 -0.1 0.15 0.7 0.8 0.55 0.2 0.55 0.2 0.3 1 0 0 0 0 0 0 0 0 0 0 0 0 0 0 0 0 0 0 0 ; </v>
      </c>
      <c r="AU61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</v>
      </c>
    </row>
    <row r="62" spans="10:47">
      <c r="J62" s="35" t="str">
        <f t="shared" ref="J62:AS62" si="18">N(J23)&amp;" "</f>
        <v xml:space="preserve">0.6 </v>
      </c>
      <c r="K62" s="35" t="str">
        <f t="shared" si="18"/>
        <v xml:space="preserve">0.2 </v>
      </c>
      <c r="L62" s="35" t="str">
        <f t="shared" si="18"/>
        <v xml:space="preserve">0.4 </v>
      </c>
      <c r="M62" s="35" t="str">
        <f t="shared" si="18"/>
        <v xml:space="preserve">0.45 </v>
      </c>
      <c r="N62" s="35" t="str">
        <f t="shared" si="18"/>
        <v xml:space="preserve">0.4 </v>
      </c>
      <c r="O62" s="35" t="str">
        <f t="shared" si="18"/>
        <v xml:space="preserve">0.25 </v>
      </c>
      <c r="P62" s="35" t="str">
        <f t="shared" si="18"/>
        <v xml:space="preserve">0.3 </v>
      </c>
      <c r="Q62" s="35" t="str">
        <f t="shared" si="18"/>
        <v xml:space="preserve">0.3 </v>
      </c>
      <c r="R62" s="35" t="str">
        <f t="shared" si="18"/>
        <v xml:space="preserve">0.1 </v>
      </c>
      <c r="S62" s="35" t="str">
        <f t="shared" si="18"/>
        <v xml:space="preserve">0 </v>
      </c>
      <c r="T62" s="35" t="str">
        <f t="shared" si="18"/>
        <v xml:space="preserve">0 </v>
      </c>
      <c r="U62" s="35" t="str">
        <f t="shared" si="18"/>
        <v xml:space="preserve">0.1 </v>
      </c>
      <c r="V62" s="35" t="str">
        <f t="shared" si="18"/>
        <v xml:space="preserve">0.3 </v>
      </c>
      <c r="W62" s="35" t="str">
        <f t="shared" si="18"/>
        <v xml:space="preserve">0.6 </v>
      </c>
      <c r="X62" s="35" t="str">
        <f t="shared" si="18"/>
        <v xml:space="preserve">0.5 </v>
      </c>
      <c r="Y62" s="35" t="str">
        <f t="shared" si="18"/>
        <v xml:space="preserve">0.8 </v>
      </c>
      <c r="Z62" s="35" t="str">
        <f t="shared" si="18"/>
        <v xml:space="preserve">0.3 </v>
      </c>
      <c r="AA62" s="35" t="str">
        <f t="shared" si="18"/>
        <v xml:space="preserve">1 </v>
      </c>
      <c r="AB62" s="35" t="str">
        <f t="shared" si="18"/>
        <v xml:space="preserve">0 </v>
      </c>
      <c r="AC62" s="35" t="str">
        <f t="shared" si="18"/>
        <v xml:space="preserve">0 </v>
      </c>
      <c r="AD62" s="35" t="str">
        <f t="shared" si="18"/>
        <v xml:space="preserve">0 </v>
      </c>
      <c r="AE62" s="35" t="str">
        <f t="shared" si="18"/>
        <v xml:space="preserve">0 </v>
      </c>
      <c r="AF62" s="35" t="str">
        <f t="shared" si="18"/>
        <v xml:space="preserve">0 </v>
      </c>
      <c r="AG62" s="35" t="str">
        <f t="shared" si="18"/>
        <v xml:space="preserve">0 </v>
      </c>
      <c r="AH62" s="35" t="str">
        <f t="shared" si="18"/>
        <v xml:space="preserve">0 </v>
      </c>
      <c r="AI62" s="35" t="str">
        <f t="shared" si="18"/>
        <v xml:space="preserve">0 </v>
      </c>
      <c r="AJ62" s="35" t="str">
        <f t="shared" si="18"/>
        <v xml:space="preserve">0 </v>
      </c>
      <c r="AK62" s="35" t="str">
        <f t="shared" si="18"/>
        <v xml:space="preserve">0 </v>
      </c>
      <c r="AL62" s="35" t="str">
        <f t="shared" si="18"/>
        <v xml:space="preserve">0 </v>
      </c>
      <c r="AM62" s="35" t="str">
        <f t="shared" si="18"/>
        <v xml:space="preserve">0 </v>
      </c>
      <c r="AN62" s="35" t="str">
        <f t="shared" si="18"/>
        <v xml:space="preserve">0 </v>
      </c>
      <c r="AO62" s="35" t="str">
        <f t="shared" si="18"/>
        <v xml:space="preserve">0 </v>
      </c>
      <c r="AP62" s="35" t="str">
        <f t="shared" si="18"/>
        <v xml:space="preserve">0 </v>
      </c>
      <c r="AQ62" s="35" t="str">
        <f t="shared" si="18"/>
        <v xml:space="preserve">0 </v>
      </c>
      <c r="AR62" s="35" t="str">
        <f t="shared" si="18"/>
        <v xml:space="preserve">0 </v>
      </c>
      <c r="AS62" s="35" t="str">
        <f t="shared" si="18"/>
        <v xml:space="preserve">0 </v>
      </c>
      <c r="AT62" s="35" t="str">
        <f>_xlfn.CONCAT(J62:AS62,"; ")</f>
        <v xml:space="preserve">0.6 0.2 0.4 0.45 0.4 0.25 0.3 0.3 0.1 0 0 0.1 0.3 0.6 0.5 0.8 0.3 1 0 0 0 0 0 0 0 0 0 0 0 0 0 0 0 0 0 0 ; </v>
      </c>
      <c r="AU62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</v>
      </c>
    </row>
    <row r="63" spans="10:47">
      <c r="J63" s="35" t="str">
        <f t="shared" ref="J63:AS63" si="19">N(J24)&amp;" "</f>
        <v xml:space="preserve">0.1 </v>
      </c>
      <c r="K63" s="35" t="str">
        <f t="shared" si="19"/>
        <v xml:space="preserve">0.1 </v>
      </c>
      <c r="L63" s="35" t="str">
        <f t="shared" si="19"/>
        <v xml:space="preserve">0.1 </v>
      </c>
      <c r="M63" s="35" t="str">
        <f t="shared" si="19"/>
        <v xml:space="preserve">0.1 </v>
      </c>
      <c r="N63" s="35" t="str">
        <f t="shared" si="19"/>
        <v xml:space="preserve">-0.1 </v>
      </c>
      <c r="O63" s="35" t="str">
        <f t="shared" si="19"/>
        <v xml:space="preserve">-0.1 </v>
      </c>
      <c r="P63" s="35" t="str">
        <f t="shared" si="19"/>
        <v xml:space="preserve">-0.1 </v>
      </c>
      <c r="Q63" s="35" t="str">
        <f t="shared" si="19"/>
        <v xml:space="preserve">0 </v>
      </c>
      <c r="R63" s="35" t="str">
        <f t="shared" si="19"/>
        <v xml:space="preserve">0.1 </v>
      </c>
      <c r="S63" s="35" t="str">
        <f t="shared" si="19"/>
        <v xml:space="preserve">-0.1 </v>
      </c>
      <c r="T63" s="35" t="str">
        <f t="shared" si="19"/>
        <v xml:space="preserve">-0.1 </v>
      </c>
      <c r="U63" s="35" t="str">
        <f t="shared" si="19"/>
        <v xml:space="preserve">-0.1 </v>
      </c>
      <c r="V63" s="35" t="str">
        <f t="shared" si="19"/>
        <v xml:space="preserve">0.05 </v>
      </c>
      <c r="W63" s="35" t="str">
        <f t="shared" si="19"/>
        <v xml:space="preserve">0.05 </v>
      </c>
      <c r="X63" s="35" t="str">
        <f t="shared" si="19"/>
        <v xml:space="preserve">0.05 </v>
      </c>
      <c r="Y63" s="35" t="str">
        <f t="shared" si="19"/>
        <v xml:space="preserve">0.35 </v>
      </c>
      <c r="Z63" s="35" t="str">
        <f t="shared" si="19"/>
        <v xml:space="preserve">0 </v>
      </c>
      <c r="AA63" s="35" t="str">
        <f t="shared" si="19"/>
        <v xml:space="preserve">0 </v>
      </c>
      <c r="AB63" s="35" t="str">
        <f t="shared" si="19"/>
        <v xml:space="preserve">1 </v>
      </c>
      <c r="AC63" s="35" t="str">
        <f t="shared" si="19"/>
        <v xml:space="preserve">0 </v>
      </c>
      <c r="AD63" s="35" t="str">
        <f t="shared" si="19"/>
        <v xml:space="preserve">0 </v>
      </c>
      <c r="AE63" s="35" t="str">
        <f t="shared" si="19"/>
        <v xml:space="preserve">0 </v>
      </c>
      <c r="AF63" s="35" t="str">
        <f t="shared" si="19"/>
        <v xml:space="preserve">0 </v>
      </c>
      <c r="AG63" s="35" t="str">
        <f t="shared" si="19"/>
        <v xml:space="preserve">0 </v>
      </c>
      <c r="AH63" s="35" t="str">
        <f t="shared" si="19"/>
        <v xml:space="preserve">0 </v>
      </c>
      <c r="AI63" s="35" t="str">
        <f t="shared" si="19"/>
        <v xml:space="preserve">0 </v>
      </c>
      <c r="AJ63" s="35" t="str">
        <f t="shared" si="19"/>
        <v xml:space="preserve">0 </v>
      </c>
      <c r="AK63" s="35" t="str">
        <f t="shared" si="19"/>
        <v xml:space="preserve">0 </v>
      </c>
      <c r="AL63" s="35" t="str">
        <f t="shared" si="19"/>
        <v xml:space="preserve">0 </v>
      </c>
      <c r="AM63" s="35" t="str">
        <f t="shared" si="19"/>
        <v xml:space="preserve">0 </v>
      </c>
      <c r="AN63" s="35" t="str">
        <f t="shared" si="19"/>
        <v xml:space="preserve">0 </v>
      </c>
      <c r="AO63" s="35" t="str">
        <f t="shared" si="19"/>
        <v xml:space="preserve">0 </v>
      </c>
      <c r="AP63" s="35" t="str">
        <f t="shared" si="19"/>
        <v xml:space="preserve">0 </v>
      </c>
      <c r="AQ63" s="35" t="str">
        <f t="shared" si="19"/>
        <v xml:space="preserve">0 </v>
      </c>
      <c r="AR63" s="35" t="str">
        <f t="shared" si="19"/>
        <v xml:space="preserve">0 </v>
      </c>
      <c r="AS63" s="35" t="str">
        <f t="shared" si="19"/>
        <v xml:space="preserve">0 </v>
      </c>
      <c r="AT63" s="35" t="str">
        <f>_xlfn.CONCAT(J63:AS63,"; ")</f>
        <v xml:space="preserve">0.1 0.1 0.1 0.1 -0.1 -0.1 -0.1 0 0.1 -0.1 -0.1 -0.1 0.05 0.05 0.05 0.35 0 0 1 0 0 0 0 0 0 0 0 0 0 0 0 0 0 0 0 0 ; </v>
      </c>
      <c r="AU63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</v>
      </c>
    </row>
    <row r="64" spans="10:47">
      <c r="J64" s="35" t="str">
        <f t="shared" ref="J64:AS64" si="20">N(J25)&amp;" "</f>
        <v xml:space="preserve">0.35 </v>
      </c>
      <c r="K64" s="35" t="str">
        <f t="shared" si="20"/>
        <v xml:space="preserve">0.5 </v>
      </c>
      <c r="L64" s="35" t="str">
        <f t="shared" si="20"/>
        <v xml:space="preserve">0.55 </v>
      </c>
      <c r="M64" s="35" t="str">
        <f t="shared" si="20"/>
        <v xml:space="preserve">0.45 </v>
      </c>
      <c r="N64" s="35" t="str">
        <f t="shared" si="20"/>
        <v xml:space="preserve">0.05 </v>
      </c>
      <c r="O64" s="35" t="str">
        <f t="shared" si="20"/>
        <v xml:space="preserve">0.25 </v>
      </c>
      <c r="P64" s="35" t="str">
        <f t="shared" si="20"/>
        <v xml:space="preserve">0.05 </v>
      </c>
      <c r="Q64" s="35" t="str">
        <f t="shared" si="20"/>
        <v xml:space="preserve">-0.1 </v>
      </c>
      <c r="R64" s="35" t="str">
        <f t="shared" si="20"/>
        <v xml:space="preserve">0.35 </v>
      </c>
      <c r="S64" s="35" t="str">
        <f t="shared" si="20"/>
        <v xml:space="preserve">0.35 </v>
      </c>
      <c r="T64" s="35" t="str">
        <f t="shared" si="20"/>
        <v xml:space="preserve">0.3 </v>
      </c>
      <c r="U64" s="35" t="str">
        <f t="shared" si="20"/>
        <v xml:space="preserve">0.35 </v>
      </c>
      <c r="V64" s="35" t="str">
        <f t="shared" si="20"/>
        <v xml:space="preserve">0.1 </v>
      </c>
      <c r="W64" s="35" t="str">
        <f t="shared" si="20"/>
        <v xml:space="preserve">0.25 </v>
      </c>
      <c r="X64" s="35" t="str">
        <f t="shared" si="20"/>
        <v xml:space="preserve">0.1 </v>
      </c>
      <c r="Y64" s="35" t="str">
        <f t="shared" si="20"/>
        <v xml:space="preserve">0.2 </v>
      </c>
      <c r="Z64" s="35" t="str">
        <f t="shared" si="20"/>
        <v xml:space="preserve">0.6 </v>
      </c>
      <c r="AA64" s="35" t="str">
        <f t="shared" si="20"/>
        <v xml:space="preserve">0.2 </v>
      </c>
      <c r="AB64" s="35" t="str">
        <f t="shared" si="20"/>
        <v xml:space="preserve">0 </v>
      </c>
      <c r="AC64" s="35" t="str">
        <f t="shared" si="20"/>
        <v xml:space="preserve">1 </v>
      </c>
      <c r="AD64" s="35" t="str">
        <f t="shared" si="20"/>
        <v xml:space="preserve">0 </v>
      </c>
      <c r="AE64" s="35" t="str">
        <f t="shared" si="20"/>
        <v xml:space="preserve">0 </v>
      </c>
      <c r="AF64" s="35" t="str">
        <f t="shared" si="20"/>
        <v xml:space="preserve">0 </v>
      </c>
      <c r="AG64" s="35" t="str">
        <f t="shared" si="20"/>
        <v xml:space="preserve">0 </v>
      </c>
      <c r="AH64" s="35" t="str">
        <f t="shared" si="20"/>
        <v xml:space="preserve">0 </v>
      </c>
      <c r="AI64" s="35" t="str">
        <f t="shared" si="20"/>
        <v xml:space="preserve">0 </v>
      </c>
      <c r="AJ64" s="35" t="str">
        <f t="shared" si="20"/>
        <v xml:space="preserve">0 </v>
      </c>
      <c r="AK64" s="35" t="str">
        <f t="shared" si="20"/>
        <v xml:space="preserve">0 </v>
      </c>
      <c r="AL64" s="35" t="str">
        <f t="shared" si="20"/>
        <v xml:space="preserve">0 </v>
      </c>
      <c r="AM64" s="35" t="str">
        <f t="shared" si="20"/>
        <v xml:space="preserve">0 </v>
      </c>
      <c r="AN64" s="35" t="str">
        <f t="shared" si="20"/>
        <v xml:space="preserve">0 </v>
      </c>
      <c r="AO64" s="35" t="str">
        <f t="shared" si="20"/>
        <v xml:space="preserve">0 </v>
      </c>
      <c r="AP64" s="35" t="str">
        <f t="shared" si="20"/>
        <v xml:space="preserve">0 </v>
      </c>
      <c r="AQ64" s="35" t="str">
        <f t="shared" si="20"/>
        <v xml:space="preserve">0 </v>
      </c>
      <c r="AR64" s="35" t="str">
        <f t="shared" si="20"/>
        <v xml:space="preserve">0 </v>
      </c>
      <c r="AS64" s="35" t="str">
        <f t="shared" si="20"/>
        <v xml:space="preserve">0 </v>
      </c>
      <c r="AT64" s="35" t="str">
        <f>_xlfn.CONCAT(J64:AS64,"; ")</f>
        <v xml:space="preserve">0.35 0.5 0.55 0.45 0.05 0.25 0.05 -0.1 0.35 0.35 0.3 0.35 0.1 0.25 0.1 0.2 0.6 0.2 0 1 0 0 0 0 0 0 0 0 0 0 0 0 0 0 0 0 ; </v>
      </c>
      <c r="AU64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</v>
      </c>
    </row>
    <row r="65" spans="10:47">
      <c r="J65" s="35" t="str">
        <f t="shared" ref="J65:AS65" si="21">N(J26)&amp;" "</f>
        <v xml:space="preserve">0.7 </v>
      </c>
      <c r="K65" s="35" t="str">
        <f t="shared" si="21"/>
        <v xml:space="preserve">0.65 </v>
      </c>
      <c r="L65" s="35" t="str">
        <f t="shared" si="21"/>
        <v xml:space="preserve">0.55 </v>
      </c>
      <c r="M65" s="35" t="str">
        <f t="shared" si="21"/>
        <v xml:space="preserve">0.5 </v>
      </c>
      <c r="N65" s="35" t="str">
        <f t="shared" si="21"/>
        <v xml:space="preserve">0 </v>
      </c>
      <c r="O65" s="35" t="str">
        <f t="shared" si="21"/>
        <v xml:space="preserve">0.1 </v>
      </c>
      <c r="P65" s="35" t="str">
        <f t="shared" si="21"/>
        <v xml:space="preserve">0 </v>
      </c>
      <c r="Q65" s="35" t="str">
        <f t="shared" si="21"/>
        <v xml:space="preserve">0 </v>
      </c>
      <c r="R65" s="35" t="str">
        <f t="shared" si="21"/>
        <v xml:space="preserve">0.4 </v>
      </c>
      <c r="S65" s="35" t="str">
        <f t="shared" si="21"/>
        <v xml:space="preserve">0.6 </v>
      </c>
      <c r="T65" s="35" t="str">
        <f t="shared" si="21"/>
        <v xml:space="preserve">0.6 </v>
      </c>
      <c r="U65" s="35" t="str">
        <f t="shared" si="21"/>
        <v xml:space="preserve">0.25 </v>
      </c>
      <c r="V65" s="35" t="str">
        <f t="shared" si="21"/>
        <v xml:space="preserve">0.7 </v>
      </c>
      <c r="W65" s="35" t="str">
        <f t="shared" si="21"/>
        <v xml:space="preserve">0.6 </v>
      </c>
      <c r="X65" s="35" t="str">
        <f t="shared" si="21"/>
        <v xml:space="preserve">0.6 </v>
      </c>
      <c r="Y65" s="35" t="str">
        <f t="shared" si="21"/>
        <v xml:space="preserve">0.65 </v>
      </c>
      <c r="Z65" s="35" t="str">
        <f t="shared" si="21"/>
        <v xml:space="preserve">0.5 </v>
      </c>
      <c r="AA65" s="35" t="str">
        <f t="shared" si="21"/>
        <v xml:space="preserve">0.8 </v>
      </c>
      <c r="AB65" s="35" t="str">
        <f t="shared" si="21"/>
        <v xml:space="preserve">0 </v>
      </c>
      <c r="AC65" s="35" t="str">
        <f t="shared" si="21"/>
        <v xml:space="preserve">0.2 </v>
      </c>
      <c r="AD65" s="35" t="str">
        <f t="shared" si="21"/>
        <v xml:space="preserve">1 </v>
      </c>
      <c r="AE65" s="35" t="str">
        <f t="shared" si="21"/>
        <v xml:space="preserve">0 </v>
      </c>
      <c r="AF65" s="35" t="str">
        <f t="shared" si="21"/>
        <v xml:space="preserve">0 </v>
      </c>
      <c r="AG65" s="35" t="str">
        <f t="shared" si="21"/>
        <v xml:space="preserve">0 </v>
      </c>
      <c r="AH65" s="35" t="str">
        <f t="shared" si="21"/>
        <v xml:space="preserve">0 </v>
      </c>
      <c r="AI65" s="35" t="str">
        <f t="shared" si="21"/>
        <v xml:space="preserve">0 </v>
      </c>
      <c r="AJ65" s="35" t="str">
        <f t="shared" si="21"/>
        <v xml:space="preserve">0 </v>
      </c>
      <c r="AK65" s="35" t="str">
        <f t="shared" si="21"/>
        <v xml:space="preserve">0 </v>
      </c>
      <c r="AL65" s="35" t="str">
        <f t="shared" si="21"/>
        <v xml:space="preserve">0 </v>
      </c>
      <c r="AM65" s="35" t="str">
        <f t="shared" si="21"/>
        <v xml:space="preserve">0 </v>
      </c>
      <c r="AN65" s="35" t="str">
        <f t="shared" si="21"/>
        <v xml:space="preserve">0 </v>
      </c>
      <c r="AO65" s="35" t="str">
        <f t="shared" si="21"/>
        <v xml:space="preserve">0 </v>
      </c>
      <c r="AP65" s="35" t="str">
        <f t="shared" si="21"/>
        <v xml:space="preserve">0 </v>
      </c>
      <c r="AQ65" s="35" t="str">
        <f t="shared" si="21"/>
        <v xml:space="preserve">0 </v>
      </c>
      <c r="AR65" s="35" t="str">
        <f t="shared" si="21"/>
        <v xml:space="preserve">0 </v>
      </c>
      <c r="AS65" s="35" t="str">
        <f t="shared" si="21"/>
        <v xml:space="preserve">0 </v>
      </c>
      <c r="AT65" s="35" t="str">
        <f>_xlfn.CONCAT(J65:AS65,"; ")</f>
        <v xml:space="preserve">0.7 0.65 0.55 0.5 0 0.1 0 0 0.4 0.6 0.6 0.25 0.7 0.6 0.6 0.65 0.5 0.8 0 0.2 1 0 0 0 0 0 0 0 0 0 0 0 0 0 0 0 ; </v>
      </c>
      <c r="AU65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</v>
      </c>
    </row>
    <row r="66" spans="10:47">
      <c r="J66" s="35" t="str">
        <f t="shared" ref="J66:AS66" si="22">N(J27)&amp;" "</f>
        <v xml:space="preserve">0.5 </v>
      </c>
      <c r="K66" s="35" t="str">
        <f t="shared" si="22"/>
        <v xml:space="preserve">0.5 </v>
      </c>
      <c r="L66" s="35" t="str">
        <f t="shared" si="22"/>
        <v xml:space="preserve">0.54 </v>
      </c>
      <c r="M66" s="35" t="str">
        <f t="shared" si="22"/>
        <v xml:space="preserve">0.51 </v>
      </c>
      <c r="N66" s="35" t="str">
        <f t="shared" si="22"/>
        <v xml:space="preserve">-0.05 </v>
      </c>
      <c r="O66" s="35" t="str">
        <f t="shared" si="22"/>
        <v xml:space="preserve">0.2 </v>
      </c>
      <c r="P66" s="35" t="str">
        <f t="shared" si="22"/>
        <v xml:space="preserve">-0.2 </v>
      </c>
      <c r="Q66" s="35" t="str">
        <f t="shared" si="22"/>
        <v xml:space="preserve">0 </v>
      </c>
      <c r="R66" s="35" t="str">
        <f t="shared" si="22"/>
        <v xml:space="preserve">0.15 </v>
      </c>
      <c r="S66" s="35" t="str">
        <f t="shared" si="22"/>
        <v xml:space="preserve">0.65 </v>
      </c>
      <c r="T66" s="35" t="str">
        <f t="shared" si="22"/>
        <v xml:space="preserve">0.65 </v>
      </c>
      <c r="U66" s="35" t="str">
        <f t="shared" si="22"/>
        <v xml:space="preserve">0.4 </v>
      </c>
      <c r="V66" s="35" t="str">
        <f t="shared" si="22"/>
        <v xml:space="preserve">0.35 </v>
      </c>
      <c r="W66" s="35" t="str">
        <f t="shared" si="22"/>
        <v xml:space="preserve">0.35 </v>
      </c>
      <c r="X66" s="35" t="str">
        <f t="shared" si="22"/>
        <v xml:space="preserve">0.35 </v>
      </c>
      <c r="Y66" s="35" t="str">
        <f t="shared" si="22"/>
        <v xml:space="preserve">0.5 </v>
      </c>
      <c r="Z66" s="35" t="str">
        <f t="shared" si="22"/>
        <v xml:space="preserve">0.6 </v>
      </c>
      <c r="AA66" s="35" t="str">
        <f t="shared" si="22"/>
        <v xml:space="preserve">0.8 </v>
      </c>
      <c r="AB66" s="35" t="str">
        <f t="shared" si="22"/>
        <v xml:space="preserve">0 </v>
      </c>
      <c r="AC66" s="35" t="str">
        <f t="shared" si="22"/>
        <v xml:space="preserve">0.4 </v>
      </c>
      <c r="AD66" s="35" t="str">
        <f t="shared" si="22"/>
        <v xml:space="preserve">0.4 </v>
      </c>
      <c r="AE66" s="35" t="str">
        <f t="shared" si="22"/>
        <v xml:space="preserve">1 </v>
      </c>
      <c r="AF66" s="35" t="str">
        <f t="shared" si="22"/>
        <v xml:space="preserve">0 </v>
      </c>
      <c r="AG66" s="35" t="str">
        <f t="shared" si="22"/>
        <v xml:space="preserve">0 </v>
      </c>
      <c r="AH66" s="35" t="str">
        <f t="shared" si="22"/>
        <v xml:space="preserve">0 </v>
      </c>
      <c r="AI66" s="35" t="str">
        <f t="shared" si="22"/>
        <v xml:space="preserve">0 </v>
      </c>
      <c r="AJ66" s="35" t="str">
        <f t="shared" si="22"/>
        <v xml:space="preserve">0 </v>
      </c>
      <c r="AK66" s="35" t="str">
        <f t="shared" si="22"/>
        <v xml:space="preserve">0 </v>
      </c>
      <c r="AL66" s="35" t="str">
        <f t="shared" si="22"/>
        <v xml:space="preserve">0 </v>
      </c>
      <c r="AM66" s="35" t="str">
        <f t="shared" si="22"/>
        <v xml:space="preserve">0 </v>
      </c>
      <c r="AN66" s="35" t="str">
        <f t="shared" si="22"/>
        <v xml:space="preserve">0 </v>
      </c>
      <c r="AO66" s="35" t="str">
        <f t="shared" si="22"/>
        <v xml:space="preserve">0 </v>
      </c>
      <c r="AP66" s="35" t="str">
        <f t="shared" si="22"/>
        <v xml:space="preserve">0 </v>
      </c>
      <c r="AQ66" s="35" t="str">
        <f t="shared" si="22"/>
        <v xml:space="preserve">0 </v>
      </c>
      <c r="AR66" s="35" t="str">
        <f t="shared" si="22"/>
        <v xml:space="preserve">0 </v>
      </c>
      <c r="AS66" s="35" t="str">
        <f t="shared" si="22"/>
        <v xml:space="preserve">0 </v>
      </c>
      <c r="AT66" s="35" t="str">
        <f>_xlfn.CONCAT(J66:AS66,"; ")</f>
        <v xml:space="preserve">0.5 0.5 0.54 0.51 -0.05 0.2 -0.2 0 0.15 0.65 0.65 0.4 0.35 0.35 0.35 0.5 0.6 0.8 0 0.4 0.4 1 0 0 0 0 0 0 0 0 0 0 0 0 0 0 ; </v>
      </c>
      <c r="AU66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</v>
      </c>
    </row>
    <row r="67" spans="10:47">
      <c r="J67" s="35" t="str">
        <f t="shared" ref="J67:AS67" si="23">N(J28)&amp;" "</f>
        <v xml:space="preserve">0.65 </v>
      </c>
      <c r="K67" s="35" t="str">
        <f t="shared" si="23"/>
        <v xml:space="preserve">0.6 </v>
      </c>
      <c r="L67" s="35" t="str">
        <f t="shared" si="23"/>
        <v xml:space="preserve">0.6 </v>
      </c>
      <c r="M67" s="35" t="str">
        <f t="shared" si="23"/>
        <v xml:space="preserve">0.6 </v>
      </c>
      <c r="N67" s="35" t="str">
        <f t="shared" si="23"/>
        <v xml:space="preserve">0.19 </v>
      </c>
      <c r="O67" s="35" t="str">
        <f t="shared" si="23"/>
        <v xml:space="preserve">0.5 </v>
      </c>
      <c r="P67" s="35" t="str">
        <f t="shared" si="23"/>
        <v xml:space="preserve">-0.15 </v>
      </c>
      <c r="Q67" s="35" t="str">
        <f t="shared" si="23"/>
        <v xml:space="preserve">-0.15 </v>
      </c>
      <c r="R67" s="35" t="str">
        <f t="shared" si="23"/>
        <v xml:space="preserve">0.3 </v>
      </c>
      <c r="S67" s="35" t="str">
        <f t="shared" si="23"/>
        <v xml:space="preserve">0.8 </v>
      </c>
      <c r="T67" s="35" t="str">
        <f t="shared" si="23"/>
        <v xml:space="preserve">0.8 </v>
      </c>
      <c r="U67" s="35" t="str">
        <f t="shared" si="23"/>
        <v xml:space="preserve">0.7 </v>
      </c>
      <c r="V67" s="35" t="str">
        <f t="shared" si="23"/>
        <v xml:space="preserve">0.65 </v>
      </c>
      <c r="W67" s="35" t="str">
        <f t="shared" si="23"/>
        <v xml:space="preserve">0.65 </v>
      </c>
      <c r="X67" s="35" t="str">
        <f t="shared" si="23"/>
        <v xml:space="preserve">0.7 </v>
      </c>
      <c r="Y67" s="35" t="str">
        <f t="shared" si="23"/>
        <v xml:space="preserve">0.8 </v>
      </c>
      <c r="Z67" s="35" t="str">
        <f t="shared" si="23"/>
        <v xml:space="preserve">0.7 </v>
      </c>
      <c r="AA67" s="35" t="str">
        <f t="shared" si="23"/>
        <v xml:space="preserve">0 </v>
      </c>
      <c r="AB67" s="35" t="str">
        <f t="shared" si="23"/>
        <v xml:space="preserve">-0.1 </v>
      </c>
      <c r="AC67" s="35" t="str">
        <f t="shared" si="23"/>
        <v xml:space="preserve">0.35 </v>
      </c>
      <c r="AD67" s="35" t="str">
        <f t="shared" si="23"/>
        <v xml:space="preserve">0.6 </v>
      </c>
      <c r="AE67" s="35" t="str">
        <f t="shared" si="23"/>
        <v xml:space="preserve">0.65 </v>
      </c>
      <c r="AF67" s="35" t="str">
        <f t="shared" si="23"/>
        <v xml:space="preserve">1 </v>
      </c>
      <c r="AG67" s="35" t="str">
        <f t="shared" si="23"/>
        <v xml:space="preserve">0 </v>
      </c>
      <c r="AH67" s="35" t="str">
        <f t="shared" si="23"/>
        <v xml:space="preserve">0 </v>
      </c>
      <c r="AI67" s="35" t="str">
        <f t="shared" si="23"/>
        <v xml:space="preserve">0 </v>
      </c>
      <c r="AJ67" s="35" t="str">
        <f t="shared" si="23"/>
        <v xml:space="preserve">0 </v>
      </c>
      <c r="AK67" s="35" t="str">
        <f t="shared" si="23"/>
        <v xml:space="preserve">0 </v>
      </c>
      <c r="AL67" s="35" t="str">
        <f t="shared" si="23"/>
        <v xml:space="preserve">0 </v>
      </c>
      <c r="AM67" s="35" t="str">
        <f t="shared" si="23"/>
        <v xml:space="preserve">0 </v>
      </c>
      <c r="AN67" s="35" t="str">
        <f t="shared" si="23"/>
        <v xml:space="preserve">0 </v>
      </c>
      <c r="AO67" s="35" t="str">
        <f t="shared" si="23"/>
        <v xml:space="preserve">0 </v>
      </c>
      <c r="AP67" s="35" t="str">
        <f t="shared" si="23"/>
        <v xml:space="preserve">0 </v>
      </c>
      <c r="AQ67" s="35" t="str">
        <f t="shared" si="23"/>
        <v xml:space="preserve">0 </v>
      </c>
      <c r="AR67" s="35" t="str">
        <f t="shared" si="23"/>
        <v xml:space="preserve">0 </v>
      </c>
      <c r="AS67" s="35" t="str">
        <f t="shared" si="23"/>
        <v xml:space="preserve">0 </v>
      </c>
      <c r="AT67" s="35" t="str">
        <f>_xlfn.CONCAT(J67:AS67,"; ")</f>
        <v xml:space="preserve">0.65 0.6 0.6 0.6 0.19 0.5 -0.15 -0.15 0.3 0.8 0.8 0.7 0.65 0.65 0.7 0.8 0.7 0 -0.1 0.35 0.6 0.65 1 0 0 0 0 0 0 0 0 0 0 0 0 0 ; </v>
      </c>
      <c r="AU67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</v>
      </c>
    </row>
    <row r="68" spans="10:47">
      <c r="J68" s="35" t="str">
        <f t="shared" ref="J68:AS68" si="24">N(J29)&amp;" "</f>
        <v xml:space="preserve">0.65 </v>
      </c>
      <c r="K68" s="35" t="str">
        <f t="shared" si="24"/>
        <v xml:space="preserve">0.6 </v>
      </c>
      <c r="L68" s="35" t="str">
        <f t="shared" si="24"/>
        <v xml:space="preserve">0.6 </v>
      </c>
      <c r="M68" s="35" t="str">
        <f t="shared" si="24"/>
        <v xml:space="preserve">0.6 </v>
      </c>
      <c r="N68" s="35" t="str">
        <f t="shared" si="24"/>
        <v xml:space="preserve">0.19 </v>
      </c>
      <c r="O68" s="35" t="str">
        <f t="shared" si="24"/>
        <v xml:space="preserve">0.5 </v>
      </c>
      <c r="P68" s="35" t="str">
        <f t="shared" si="24"/>
        <v xml:space="preserve">-0.15 </v>
      </c>
      <c r="Q68" s="35" t="str">
        <f t="shared" si="24"/>
        <v xml:space="preserve">-0.15 </v>
      </c>
      <c r="R68" s="35" t="str">
        <f t="shared" si="24"/>
        <v xml:space="preserve">0.3 </v>
      </c>
      <c r="S68" s="35" t="str">
        <f t="shared" si="24"/>
        <v xml:space="preserve">0.8 </v>
      </c>
      <c r="T68" s="35" t="str">
        <f t="shared" si="24"/>
        <v xml:space="preserve">0.8 </v>
      </c>
      <c r="U68" s="35" t="str">
        <f t="shared" si="24"/>
        <v xml:space="preserve">0.7 </v>
      </c>
      <c r="V68" s="35" t="str">
        <f t="shared" si="24"/>
        <v xml:space="preserve">0.65 </v>
      </c>
      <c r="W68" s="35" t="str">
        <f t="shared" si="24"/>
        <v xml:space="preserve">0.65 </v>
      </c>
      <c r="X68" s="35" t="str">
        <f t="shared" si="24"/>
        <v xml:space="preserve">0.7 </v>
      </c>
      <c r="Y68" s="35" t="str">
        <f t="shared" si="24"/>
        <v xml:space="preserve">0.8 </v>
      </c>
      <c r="Z68" s="35" t="str">
        <f t="shared" si="24"/>
        <v xml:space="preserve">0.7 </v>
      </c>
      <c r="AA68" s="35" t="str">
        <f t="shared" si="24"/>
        <v xml:space="preserve">0 </v>
      </c>
      <c r="AB68" s="35" t="str">
        <f t="shared" si="24"/>
        <v xml:space="preserve">-0.1 </v>
      </c>
      <c r="AC68" s="35" t="str">
        <f t="shared" si="24"/>
        <v xml:space="preserve">0.35 </v>
      </c>
      <c r="AD68" s="35" t="str">
        <f t="shared" si="24"/>
        <v xml:space="preserve">0.6 </v>
      </c>
      <c r="AE68" s="35" t="str">
        <f t="shared" si="24"/>
        <v xml:space="preserve">0.65 </v>
      </c>
      <c r="AF68" s="35" t="str">
        <f t="shared" si="24"/>
        <v xml:space="preserve">0.97 </v>
      </c>
      <c r="AG68" s="35" t="str">
        <f t="shared" si="24"/>
        <v xml:space="preserve">1 </v>
      </c>
      <c r="AH68" s="35" t="str">
        <f t="shared" si="24"/>
        <v xml:space="preserve">0 </v>
      </c>
      <c r="AI68" s="35" t="str">
        <f t="shared" si="24"/>
        <v xml:space="preserve">0 </v>
      </c>
      <c r="AJ68" s="35" t="str">
        <f t="shared" si="24"/>
        <v xml:space="preserve">0 </v>
      </c>
      <c r="AK68" s="35" t="str">
        <f t="shared" si="24"/>
        <v xml:space="preserve">0 </v>
      </c>
      <c r="AL68" s="35" t="str">
        <f t="shared" si="24"/>
        <v xml:space="preserve">0 </v>
      </c>
      <c r="AM68" s="35" t="str">
        <f t="shared" si="24"/>
        <v xml:space="preserve">0 </v>
      </c>
      <c r="AN68" s="35" t="str">
        <f t="shared" si="24"/>
        <v xml:space="preserve">0 </v>
      </c>
      <c r="AO68" s="35" t="str">
        <f t="shared" si="24"/>
        <v xml:space="preserve">0 </v>
      </c>
      <c r="AP68" s="35" t="str">
        <f t="shared" si="24"/>
        <v xml:space="preserve">0 </v>
      </c>
      <c r="AQ68" s="35" t="str">
        <f t="shared" si="24"/>
        <v xml:space="preserve">0 </v>
      </c>
      <c r="AR68" s="35" t="str">
        <f t="shared" si="24"/>
        <v xml:space="preserve">0 </v>
      </c>
      <c r="AS68" s="35" t="str">
        <f t="shared" si="24"/>
        <v xml:space="preserve">0 </v>
      </c>
      <c r="AT68" s="35" t="str">
        <f>_xlfn.CONCAT(J68:AS68,"; ")</f>
        <v xml:space="preserve">0.65 0.6 0.6 0.6 0.19 0.5 -0.15 -0.15 0.3 0.8 0.8 0.7 0.65 0.65 0.7 0.8 0.7 0 -0.1 0.35 0.6 0.65 0.97 1 0 0 0 0 0 0 0 0 0 0 0 0 ; </v>
      </c>
      <c r="AU68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</v>
      </c>
    </row>
    <row r="69" spans="10:47">
      <c r="J69" s="35" t="str">
        <f t="shared" ref="J69:AS69" si="25">N(J30)&amp;" "</f>
        <v xml:space="preserve">0.8 </v>
      </c>
      <c r="K69" s="35" t="str">
        <f t="shared" si="25"/>
        <v xml:space="preserve">0.75 </v>
      </c>
      <c r="L69" s="35" t="str">
        <f t="shared" si="25"/>
        <v xml:space="preserve">0.7 </v>
      </c>
      <c r="M69" s="35" t="str">
        <f t="shared" si="25"/>
        <v xml:space="preserve">0.8 </v>
      </c>
      <c r="N69" s="35" t="str">
        <f t="shared" si="25"/>
        <v xml:space="preserve">0 </v>
      </c>
      <c r="O69" s="35" t="str">
        <f t="shared" si="25"/>
        <v xml:space="preserve">0.3 </v>
      </c>
      <c r="P69" s="35" t="str">
        <f t="shared" si="25"/>
        <v xml:space="preserve">-0.1 </v>
      </c>
      <c r="Q69" s="35" t="str">
        <f t="shared" si="25"/>
        <v xml:space="preserve">0 </v>
      </c>
      <c r="R69" s="35" t="str">
        <f t="shared" si="25"/>
        <v xml:space="preserve">0.1 </v>
      </c>
      <c r="S69" s="35" t="str">
        <f t="shared" si="25"/>
        <v xml:space="preserve">0.75 </v>
      </c>
      <c r="T69" s="35" t="str">
        <f t="shared" si="25"/>
        <v xml:space="preserve">0.5 </v>
      </c>
      <c r="U69" s="35" t="str">
        <f t="shared" si="25"/>
        <v xml:space="preserve">0.4 </v>
      </c>
      <c r="V69" s="35" t="str">
        <f t="shared" si="25"/>
        <v xml:space="preserve">0.7 </v>
      </c>
      <c r="W69" s="35" t="str">
        <f t="shared" si="25"/>
        <v xml:space="preserve">0.7 </v>
      </c>
      <c r="X69" s="35" t="str">
        <f t="shared" si="25"/>
        <v xml:space="preserve">0.7 </v>
      </c>
      <c r="Y69" s="35" t="str">
        <f t="shared" si="25"/>
        <v xml:space="preserve">0.8 </v>
      </c>
      <c r="Z69" s="35" t="str">
        <f t="shared" si="25"/>
        <v xml:space="preserve">0.75 </v>
      </c>
      <c r="AA69" s="35" t="str">
        <f t="shared" si="25"/>
        <v xml:space="preserve">0 </v>
      </c>
      <c r="AB69" s="35" t="str">
        <f t="shared" si="25"/>
        <v xml:space="preserve">-0.1 </v>
      </c>
      <c r="AC69" s="35" t="str">
        <f t="shared" si="25"/>
        <v xml:space="preserve">0.35 </v>
      </c>
      <c r="AD69" s="35" t="str">
        <f t="shared" si="25"/>
        <v xml:space="preserve">0.6 </v>
      </c>
      <c r="AE69" s="35" t="str">
        <f t="shared" si="25"/>
        <v xml:space="preserve">0.6 </v>
      </c>
      <c r="AF69" s="35" t="str">
        <f t="shared" si="25"/>
        <v xml:space="preserve">0.9 </v>
      </c>
      <c r="AG69" s="35" t="str">
        <f t="shared" si="25"/>
        <v xml:space="preserve">0.9 </v>
      </c>
      <c r="AH69" s="35" t="str">
        <f t="shared" si="25"/>
        <v xml:space="preserve">1 </v>
      </c>
      <c r="AI69" s="35" t="str">
        <f t="shared" si="25"/>
        <v xml:space="preserve">0 </v>
      </c>
      <c r="AJ69" s="35" t="str">
        <f t="shared" si="25"/>
        <v xml:space="preserve">0 </v>
      </c>
      <c r="AK69" s="35" t="str">
        <f t="shared" si="25"/>
        <v xml:space="preserve">0 </v>
      </c>
      <c r="AL69" s="35" t="str">
        <f t="shared" si="25"/>
        <v xml:space="preserve">0 </v>
      </c>
      <c r="AM69" s="35" t="str">
        <f t="shared" si="25"/>
        <v xml:space="preserve">0 </v>
      </c>
      <c r="AN69" s="35" t="str">
        <f t="shared" si="25"/>
        <v xml:space="preserve">0 </v>
      </c>
      <c r="AO69" s="35" t="str">
        <f t="shared" si="25"/>
        <v xml:space="preserve">0 </v>
      </c>
      <c r="AP69" s="35" t="str">
        <f t="shared" si="25"/>
        <v xml:space="preserve">0 </v>
      </c>
      <c r="AQ69" s="35" t="str">
        <f t="shared" si="25"/>
        <v xml:space="preserve">0 </v>
      </c>
      <c r="AR69" s="35" t="str">
        <f t="shared" si="25"/>
        <v xml:space="preserve">0 </v>
      </c>
      <c r="AS69" s="35" t="str">
        <f t="shared" si="25"/>
        <v xml:space="preserve">0 </v>
      </c>
      <c r="AT69" s="35" t="str">
        <f>_xlfn.CONCAT(J69:AS69,"; ")</f>
        <v xml:space="preserve">0.8 0.75 0.7 0.8 0 0.3 -0.1 0 0.1 0.75 0.5 0.4 0.7 0.7 0.7 0.8 0.75 0 -0.1 0.35 0.6 0.6 0.9 0.9 1 0 0 0 0 0 0 0 0 0 0 0 ; </v>
      </c>
      <c r="AU69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</v>
      </c>
    </row>
    <row r="70" spans="10:47">
      <c r="J70" s="35" t="str">
        <f t="shared" ref="J70:AS70" si="26">N(J31)&amp;" "</f>
        <v xml:space="preserve">0.8 </v>
      </c>
      <c r="K70" s="35" t="str">
        <f t="shared" si="26"/>
        <v xml:space="preserve">0.7 </v>
      </c>
      <c r="L70" s="35" t="str">
        <f t="shared" si="26"/>
        <v xml:space="preserve">0.6 </v>
      </c>
      <c r="M70" s="35" t="str">
        <f t="shared" si="26"/>
        <v xml:space="preserve">0.7 </v>
      </c>
      <c r="N70" s="35" t="str">
        <f t="shared" si="26"/>
        <v xml:space="preserve">0 </v>
      </c>
      <c r="O70" s="35" t="str">
        <f t="shared" si="26"/>
        <v xml:space="preserve">0.25 </v>
      </c>
      <c r="P70" s="35" t="str">
        <f t="shared" si="26"/>
        <v xml:space="preserve">-0.2 </v>
      </c>
      <c r="Q70" s="35" t="str">
        <f t="shared" si="26"/>
        <v xml:space="preserve">0 </v>
      </c>
      <c r="R70" s="35" t="str">
        <f t="shared" si="26"/>
        <v xml:space="preserve">0 </v>
      </c>
      <c r="S70" s="35" t="str">
        <f t="shared" si="26"/>
        <v xml:space="preserve">0.65 </v>
      </c>
      <c r="T70" s="35" t="str">
        <f t="shared" si="26"/>
        <v xml:space="preserve">0.5 </v>
      </c>
      <c r="U70" s="35" t="str">
        <f t="shared" si="26"/>
        <v xml:space="preserve">0.25 </v>
      </c>
      <c r="V70" s="35" t="str">
        <f t="shared" si="26"/>
        <v xml:space="preserve">0.7 </v>
      </c>
      <c r="W70" s="35" t="str">
        <f t="shared" si="26"/>
        <v xml:space="preserve">0.6 </v>
      </c>
      <c r="X70" s="35" t="str">
        <f t="shared" si="26"/>
        <v xml:space="preserve">0.6 </v>
      </c>
      <c r="Y70" s="35" t="str">
        <f t="shared" si="26"/>
        <v xml:space="preserve">0.9 </v>
      </c>
      <c r="Z70" s="35" t="str">
        <f t="shared" si="26"/>
        <v xml:space="preserve">0.3 </v>
      </c>
      <c r="AA70" s="35" t="str">
        <f t="shared" si="26"/>
        <v xml:space="preserve">0.8 </v>
      </c>
      <c r="AB70" s="35" t="str">
        <f t="shared" si="26"/>
        <v xml:space="preserve">0 </v>
      </c>
      <c r="AC70" s="35" t="str">
        <f t="shared" si="26"/>
        <v xml:space="preserve">0.2 </v>
      </c>
      <c r="AD70" s="35" t="str">
        <f t="shared" si="26"/>
        <v xml:space="preserve">0.65 </v>
      </c>
      <c r="AE70" s="35" t="str">
        <f t="shared" si="26"/>
        <v xml:space="preserve">0.5 </v>
      </c>
      <c r="AF70" s="35" t="str">
        <f t="shared" si="26"/>
        <v xml:space="preserve">0.8 </v>
      </c>
      <c r="AG70" s="35" t="str">
        <f t="shared" si="26"/>
        <v xml:space="preserve">0.8 </v>
      </c>
      <c r="AH70" s="35" t="str">
        <f t="shared" si="26"/>
        <v xml:space="preserve">0.8 </v>
      </c>
      <c r="AI70" s="35" t="str">
        <f t="shared" si="26"/>
        <v xml:space="preserve">1 </v>
      </c>
      <c r="AJ70" s="35" t="str">
        <f t="shared" si="26"/>
        <v xml:space="preserve">0 </v>
      </c>
      <c r="AK70" s="35" t="str">
        <f t="shared" si="26"/>
        <v xml:space="preserve">0 </v>
      </c>
      <c r="AL70" s="35" t="str">
        <f t="shared" si="26"/>
        <v xml:space="preserve">0 </v>
      </c>
      <c r="AM70" s="35" t="str">
        <f t="shared" si="26"/>
        <v xml:space="preserve">0 </v>
      </c>
      <c r="AN70" s="35" t="str">
        <f t="shared" si="26"/>
        <v xml:space="preserve">0 </v>
      </c>
      <c r="AO70" s="35" t="str">
        <f t="shared" si="26"/>
        <v xml:space="preserve">0 </v>
      </c>
      <c r="AP70" s="35" t="str">
        <f t="shared" si="26"/>
        <v xml:space="preserve">0 </v>
      </c>
      <c r="AQ70" s="35" t="str">
        <f t="shared" si="26"/>
        <v xml:space="preserve">0 </v>
      </c>
      <c r="AR70" s="35" t="str">
        <f t="shared" si="26"/>
        <v xml:space="preserve">0 </v>
      </c>
      <c r="AS70" s="35" t="str">
        <f t="shared" si="26"/>
        <v xml:space="preserve">0 </v>
      </c>
      <c r="AT70" s="35" t="str">
        <f>_xlfn.CONCAT(J70:AS70,"; ")</f>
        <v xml:space="preserve">0.8 0.7 0.6 0.7 0 0.25 -0.2 0 0 0.65 0.5 0.25 0.7 0.6 0.6 0.9 0.3 0.8 0 0.2 0.65 0.5 0.8 0.8 0.8 1 0 0 0 0 0 0 0 0 0 0 ; </v>
      </c>
      <c r="AU70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</v>
      </c>
    </row>
    <row r="71" spans="10:47">
      <c r="J71" s="35" t="str">
        <f t="shared" ref="J71:AS71" si="27">N(J32)&amp;" "</f>
        <v xml:space="preserve">0.8 </v>
      </c>
      <c r="K71" s="35" t="str">
        <f t="shared" si="27"/>
        <v xml:space="preserve">0.7 </v>
      </c>
      <c r="L71" s="35" t="str">
        <f t="shared" si="27"/>
        <v xml:space="preserve">0.6 </v>
      </c>
      <c r="M71" s="35" t="str">
        <f t="shared" si="27"/>
        <v xml:space="preserve">0.7 </v>
      </c>
      <c r="N71" s="35" t="str">
        <f t="shared" si="27"/>
        <v xml:space="preserve">0 </v>
      </c>
      <c r="O71" s="35" t="str">
        <f t="shared" si="27"/>
        <v xml:space="preserve">0.25 </v>
      </c>
      <c r="P71" s="35" t="str">
        <f t="shared" si="27"/>
        <v xml:space="preserve">-0.2 </v>
      </c>
      <c r="Q71" s="35" t="str">
        <f t="shared" si="27"/>
        <v xml:space="preserve">0 </v>
      </c>
      <c r="R71" s="35" t="str">
        <f t="shared" si="27"/>
        <v xml:space="preserve">0 </v>
      </c>
      <c r="S71" s="35" t="str">
        <f t="shared" si="27"/>
        <v xml:space="preserve">0.65 </v>
      </c>
      <c r="T71" s="35" t="str">
        <f t="shared" si="27"/>
        <v xml:space="preserve">0.5 </v>
      </c>
      <c r="U71" s="35" t="str">
        <f t="shared" si="27"/>
        <v xml:space="preserve">0.25 </v>
      </c>
      <c r="V71" s="35" t="str">
        <f t="shared" si="27"/>
        <v xml:space="preserve">0.7 </v>
      </c>
      <c r="W71" s="35" t="str">
        <f t="shared" si="27"/>
        <v xml:space="preserve">0.6 </v>
      </c>
      <c r="X71" s="35" t="str">
        <f t="shared" si="27"/>
        <v xml:space="preserve">0.6 </v>
      </c>
      <c r="Y71" s="35" t="str">
        <f t="shared" si="27"/>
        <v xml:space="preserve">0.9 </v>
      </c>
      <c r="Z71" s="35" t="str">
        <f t="shared" si="27"/>
        <v xml:space="preserve">0.3 </v>
      </c>
      <c r="AA71" s="35" t="str">
        <f t="shared" si="27"/>
        <v xml:space="preserve">0.8 </v>
      </c>
      <c r="AB71" s="35" t="str">
        <f t="shared" si="27"/>
        <v xml:space="preserve">0 </v>
      </c>
      <c r="AC71" s="35" t="str">
        <f t="shared" si="27"/>
        <v xml:space="preserve">0.2 </v>
      </c>
      <c r="AD71" s="35" t="str">
        <f t="shared" si="27"/>
        <v xml:space="preserve">0.65 </v>
      </c>
      <c r="AE71" s="35" t="str">
        <f t="shared" si="27"/>
        <v xml:space="preserve">0.5 </v>
      </c>
      <c r="AF71" s="35" t="str">
        <f t="shared" si="27"/>
        <v xml:space="preserve">0.8 </v>
      </c>
      <c r="AG71" s="35" t="str">
        <f t="shared" si="27"/>
        <v xml:space="preserve">0.8 </v>
      </c>
      <c r="AH71" s="35" t="str">
        <f t="shared" si="27"/>
        <v xml:space="preserve">0.8 </v>
      </c>
      <c r="AI71" s="35" t="str">
        <f t="shared" si="27"/>
        <v xml:space="preserve">0.8 </v>
      </c>
      <c r="AJ71" s="35" t="str">
        <f t="shared" si="27"/>
        <v xml:space="preserve">1 </v>
      </c>
      <c r="AK71" s="35" t="str">
        <f t="shared" si="27"/>
        <v xml:space="preserve">0 </v>
      </c>
      <c r="AL71" s="35" t="str">
        <f t="shared" si="27"/>
        <v xml:space="preserve">0 </v>
      </c>
      <c r="AM71" s="35" t="str">
        <f t="shared" si="27"/>
        <v xml:space="preserve">0 </v>
      </c>
      <c r="AN71" s="35" t="str">
        <f t="shared" si="27"/>
        <v xml:space="preserve">0 </v>
      </c>
      <c r="AO71" s="35" t="str">
        <f t="shared" si="27"/>
        <v xml:space="preserve">0 </v>
      </c>
      <c r="AP71" s="35" t="str">
        <f t="shared" si="27"/>
        <v xml:space="preserve">0 </v>
      </c>
      <c r="AQ71" s="35" t="str">
        <f t="shared" si="27"/>
        <v xml:space="preserve">0 </v>
      </c>
      <c r="AR71" s="35" t="str">
        <f t="shared" si="27"/>
        <v xml:space="preserve">0 </v>
      </c>
      <c r="AS71" s="35" t="str">
        <f t="shared" si="27"/>
        <v xml:space="preserve">0 </v>
      </c>
      <c r="AT71" s="35" t="str">
        <f>_xlfn.CONCAT(J71:AS71,"; ")</f>
        <v xml:space="preserve">0.8 0.7 0.6 0.7 0 0.25 -0.2 0 0 0.65 0.5 0.25 0.7 0.6 0.6 0.9 0.3 0.8 0 0.2 0.65 0.5 0.8 0.8 0.8 0.8 1 0 0 0 0 0 0 0 0 0 ; </v>
      </c>
      <c r="AU71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</v>
      </c>
    </row>
    <row r="72" spans="10:47">
      <c r="J72" s="35" t="str">
        <f t="shared" ref="J72:AS72" si="28">N(J33)&amp;" "</f>
        <v xml:space="preserve">0.81 </v>
      </c>
      <c r="K72" s="35" t="str">
        <f t="shared" si="28"/>
        <v xml:space="preserve">0.81 </v>
      </c>
      <c r="L72" s="35" t="str">
        <f t="shared" si="28"/>
        <v xml:space="preserve">0.81 </v>
      </c>
      <c r="M72" s="35" t="str">
        <f t="shared" si="28"/>
        <v xml:space="preserve">0.81 </v>
      </c>
      <c r="N72" s="35" t="str">
        <f t="shared" si="28"/>
        <v xml:space="preserve">0 </v>
      </c>
      <c r="O72" s="35" t="str">
        <f t="shared" si="28"/>
        <v xml:space="preserve">0.45 </v>
      </c>
      <c r="P72" s="35" t="str">
        <f t="shared" si="28"/>
        <v xml:space="preserve">-0.32 </v>
      </c>
      <c r="Q72" s="35" t="str">
        <f t="shared" si="28"/>
        <v xml:space="preserve">0 </v>
      </c>
      <c r="R72" s="35" t="str">
        <f t="shared" si="28"/>
        <v xml:space="preserve">-0.1 </v>
      </c>
      <c r="S72" s="35" t="str">
        <f t="shared" si="28"/>
        <v xml:space="preserve">0.57 </v>
      </c>
      <c r="T72" s="35" t="str">
        <f t="shared" si="28"/>
        <v xml:space="preserve">0.57 </v>
      </c>
      <c r="U72" s="35" t="str">
        <f t="shared" si="28"/>
        <v xml:space="preserve">0.47 </v>
      </c>
      <c r="V72" s="35" t="str">
        <f t="shared" si="28"/>
        <v xml:space="preserve">0.4 </v>
      </c>
      <c r="W72" s="35" t="str">
        <f t="shared" si="28"/>
        <v xml:space="preserve">0.32 </v>
      </c>
      <c r="X72" s="35" t="str">
        <f t="shared" si="28"/>
        <v xml:space="preserve">0.32 </v>
      </c>
      <c r="Y72" s="35" t="str">
        <f t="shared" si="28"/>
        <v xml:space="preserve">0.67 </v>
      </c>
      <c r="Z72" s="35" t="str">
        <f t="shared" si="28"/>
        <v xml:space="preserve">0.77 </v>
      </c>
      <c r="AA72" s="35" t="str">
        <f t="shared" si="28"/>
        <v xml:space="preserve">0.72 </v>
      </c>
      <c r="AB72" s="35" t="str">
        <f t="shared" si="28"/>
        <v xml:space="preserve">0 </v>
      </c>
      <c r="AC72" s="35" t="str">
        <f t="shared" si="28"/>
        <v xml:space="preserve">0.53 </v>
      </c>
      <c r="AD72" s="35" t="str">
        <f t="shared" si="28"/>
        <v xml:space="preserve">0.47 </v>
      </c>
      <c r="AE72" s="35" t="str">
        <f t="shared" si="28"/>
        <v xml:space="preserve">0.32 </v>
      </c>
      <c r="AF72" s="35" t="str">
        <f t="shared" si="28"/>
        <v xml:space="preserve">0.57 </v>
      </c>
      <c r="AG72" s="35" t="str">
        <f t="shared" si="28"/>
        <v xml:space="preserve">0.57 </v>
      </c>
      <c r="AH72" s="35" t="str">
        <f t="shared" si="28"/>
        <v xml:space="preserve">0.71 </v>
      </c>
      <c r="AI72" s="35" t="str">
        <f t="shared" si="28"/>
        <v xml:space="preserve">0.67 </v>
      </c>
      <c r="AJ72" s="35" t="str">
        <f t="shared" si="28"/>
        <v xml:space="preserve">0.67 </v>
      </c>
      <c r="AK72" s="35" t="str">
        <f t="shared" si="28"/>
        <v xml:space="preserve">1 </v>
      </c>
      <c r="AL72" s="35" t="str">
        <f t="shared" si="28"/>
        <v xml:space="preserve">0 </v>
      </c>
      <c r="AM72" s="35" t="str">
        <f t="shared" si="28"/>
        <v xml:space="preserve">0 </v>
      </c>
      <c r="AN72" s="35" t="str">
        <f t="shared" si="28"/>
        <v xml:space="preserve">0 </v>
      </c>
      <c r="AO72" s="35" t="str">
        <f t="shared" si="28"/>
        <v xml:space="preserve">0 </v>
      </c>
      <c r="AP72" s="35" t="str">
        <f t="shared" si="28"/>
        <v xml:space="preserve">0 </v>
      </c>
      <c r="AQ72" s="35" t="str">
        <f t="shared" si="28"/>
        <v xml:space="preserve">0 </v>
      </c>
      <c r="AR72" s="35" t="str">
        <f t="shared" si="28"/>
        <v xml:space="preserve">0 </v>
      </c>
      <c r="AS72" s="35" t="str">
        <f t="shared" si="28"/>
        <v xml:space="preserve">0 </v>
      </c>
      <c r="AT72" s="35" t="str">
        <f>_xlfn.CONCAT(J72:AS72,"; ")</f>
        <v xml:space="preserve">0.81 0.81 0.81 0.81 0 0.45 -0.32 0 -0.1 0.57 0.57 0.47 0.4 0.32 0.32 0.67 0.77 0.72 0 0.53 0.47 0.32 0.57 0.57 0.71 0.67 0.67 1 0 0 0 0 0 0 0 0 ; </v>
      </c>
      <c r="AU72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</v>
      </c>
    </row>
    <row r="73" spans="10:47">
      <c r="J73" s="35" t="str">
        <f t="shared" ref="J73:AS73" si="29">N(J34)&amp;" "</f>
        <v xml:space="preserve">0.42 </v>
      </c>
      <c r="K73" s="35" t="str">
        <f t="shared" si="29"/>
        <v xml:space="preserve">0.42 </v>
      </c>
      <c r="L73" s="35" t="str">
        <f t="shared" si="29"/>
        <v xml:space="preserve">0.42 </v>
      </c>
      <c r="M73" s="35" t="str">
        <f t="shared" si="29"/>
        <v xml:space="preserve">0.42 </v>
      </c>
      <c r="N73" s="35" t="str">
        <f t="shared" si="29"/>
        <v xml:space="preserve">0 </v>
      </c>
      <c r="O73" s="35" t="str">
        <f t="shared" si="29"/>
        <v xml:space="preserve">0.3 </v>
      </c>
      <c r="P73" s="35" t="str">
        <f t="shared" si="29"/>
        <v xml:space="preserve">-0.14 </v>
      </c>
      <c r="Q73" s="35" t="str">
        <f t="shared" si="29"/>
        <v xml:space="preserve">0.1 </v>
      </c>
      <c r="R73" s="35" t="str">
        <f t="shared" si="29"/>
        <v xml:space="preserve">-0.02 </v>
      </c>
      <c r="S73" s="35" t="str">
        <f t="shared" si="29"/>
        <v xml:space="preserve">0.35 </v>
      </c>
      <c r="T73" s="35" t="str">
        <f t="shared" si="29"/>
        <v xml:space="preserve">0.35 </v>
      </c>
      <c r="U73" s="35" t="str">
        <f t="shared" si="29"/>
        <v xml:space="preserve">0.25 </v>
      </c>
      <c r="V73" s="35" t="str">
        <f t="shared" si="29"/>
        <v xml:space="preserve">0.22 </v>
      </c>
      <c r="W73" s="35" t="str">
        <f t="shared" si="29"/>
        <v xml:space="preserve">0.22 </v>
      </c>
      <c r="X73" s="35" t="str">
        <f t="shared" si="29"/>
        <v xml:space="preserve">0.22 </v>
      </c>
      <c r="Y73" s="35" t="str">
        <f t="shared" si="29"/>
        <v xml:space="preserve">0.2 </v>
      </c>
      <c r="Z73" s="35" t="str">
        <f t="shared" si="29"/>
        <v xml:space="preserve">0.71 </v>
      </c>
      <c r="AA73" s="35" t="str">
        <f t="shared" si="29"/>
        <v xml:space="preserve">0.35 </v>
      </c>
      <c r="AB73" s="35" t="str">
        <f t="shared" si="29"/>
        <v xml:space="preserve">0 </v>
      </c>
      <c r="AC73" s="35" t="str">
        <f t="shared" si="29"/>
        <v xml:space="preserve">0.35 </v>
      </c>
      <c r="AD73" s="35" t="str">
        <f t="shared" si="29"/>
        <v xml:space="preserve">0.33 </v>
      </c>
      <c r="AE73" s="35" t="str">
        <f t="shared" si="29"/>
        <v xml:space="preserve">0.22 </v>
      </c>
      <c r="AF73" s="35" t="str">
        <f t="shared" si="29"/>
        <v xml:space="preserve">0.35 </v>
      </c>
      <c r="AG73" s="35" t="str">
        <f t="shared" si="29"/>
        <v xml:space="preserve">0.35 </v>
      </c>
      <c r="AH73" s="35" t="str">
        <f t="shared" si="29"/>
        <v xml:space="preserve">0.38 </v>
      </c>
      <c r="AI73" s="35" t="str">
        <f t="shared" si="29"/>
        <v xml:space="preserve">0.2 </v>
      </c>
      <c r="AJ73" s="35" t="str">
        <f t="shared" si="29"/>
        <v xml:space="preserve">0.2 </v>
      </c>
      <c r="AK73" s="35" t="str">
        <f t="shared" si="29"/>
        <v xml:space="preserve">0.59 </v>
      </c>
      <c r="AL73" s="35" t="str">
        <f t="shared" si="29"/>
        <v xml:space="preserve">1 </v>
      </c>
      <c r="AM73" s="35" t="str">
        <f t="shared" si="29"/>
        <v xml:space="preserve">0 </v>
      </c>
      <c r="AN73" s="35" t="str">
        <f t="shared" si="29"/>
        <v xml:space="preserve">0 </v>
      </c>
      <c r="AO73" s="35" t="str">
        <f t="shared" si="29"/>
        <v xml:space="preserve">0 </v>
      </c>
      <c r="AP73" s="35" t="str">
        <f t="shared" si="29"/>
        <v xml:space="preserve">0 </v>
      </c>
      <c r="AQ73" s="35" t="str">
        <f t="shared" si="29"/>
        <v xml:space="preserve">0 </v>
      </c>
      <c r="AR73" s="35" t="str">
        <f t="shared" si="29"/>
        <v xml:space="preserve">0 </v>
      </c>
      <c r="AS73" s="35" t="str">
        <f t="shared" si="29"/>
        <v xml:space="preserve">0 </v>
      </c>
      <c r="AT73" s="35" t="str">
        <f>_xlfn.CONCAT(J73:AS73,"; ")</f>
        <v xml:space="preserve">0.42 0.42 0.42 0.42 0 0.3 -0.14 0.1 -0.02 0.35 0.35 0.25 0.22 0.22 0.22 0.2 0.71 0.35 0 0.35 0.33 0.22 0.35 0.35 0.38 0.2 0.2 0.59 1 0 0 0 0 0 0 0 ; </v>
      </c>
      <c r="AU73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0.42 0.42 0.42 0.42 0 0.3 -0.14 0.1 -0.02 0.35 0.35 0.25 0.22 0.22 0.22 0.2 0.71 0.35 0 0.35 0.33 0.22 0.35 0.35 0.38 0.2 0.2 0.59 1 0 0 0 0 0 0 0 ; </v>
      </c>
    </row>
    <row r="74" spans="10:47">
      <c r="J74" s="35" t="str">
        <f t="shared" ref="J74:AS74" si="30">N(J35)&amp;" "</f>
        <v xml:space="preserve">0.4 </v>
      </c>
      <c r="K74" s="35" t="str">
        <f t="shared" si="30"/>
        <v xml:space="preserve">0.4 </v>
      </c>
      <c r="L74" s="35" t="str">
        <f t="shared" si="30"/>
        <v xml:space="preserve">0.4 </v>
      </c>
      <c r="M74" s="35" t="str">
        <f t="shared" si="30"/>
        <v xml:space="preserve">0.4 </v>
      </c>
      <c r="N74" s="35" t="str">
        <f t="shared" si="30"/>
        <v xml:space="preserve">0 </v>
      </c>
      <c r="O74" s="35" t="str">
        <f t="shared" si="30"/>
        <v xml:space="preserve">0.2 </v>
      </c>
      <c r="P74" s="35" t="str">
        <f t="shared" si="30"/>
        <v xml:space="preserve">-0.1 </v>
      </c>
      <c r="Q74" s="35" t="str">
        <f t="shared" si="30"/>
        <v xml:space="preserve">0 </v>
      </c>
      <c r="R74" s="35" t="str">
        <f t="shared" si="30"/>
        <v xml:space="preserve">0 </v>
      </c>
      <c r="S74" s="35" t="str">
        <f t="shared" si="30"/>
        <v xml:space="preserve">0.2 </v>
      </c>
      <c r="T74" s="35" t="str">
        <f t="shared" si="30"/>
        <v xml:space="preserve">0.2 </v>
      </c>
      <c r="U74" s="35" t="str">
        <f t="shared" si="30"/>
        <v xml:space="preserve">0.1 </v>
      </c>
      <c r="V74" s="35" t="str">
        <f t="shared" si="30"/>
        <v xml:space="preserve">0.3 </v>
      </c>
      <c r="W74" s="35" t="str">
        <f t="shared" si="30"/>
        <v xml:space="preserve">0.3 </v>
      </c>
      <c r="X74" s="35" t="str">
        <f t="shared" si="30"/>
        <v xml:space="preserve">0.3 </v>
      </c>
      <c r="Y74" s="35" t="str">
        <f t="shared" si="30"/>
        <v xml:space="preserve">0 </v>
      </c>
      <c r="Z74" s="35" t="str">
        <f t="shared" si="30"/>
        <v xml:space="preserve">0.5 </v>
      </c>
      <c r="AA74" s="35" t="str">
        <f t="shared" si="30"/>
        <v xml:space="preserve">0.3 </v>
      </c>
      <c r="AB74" s="35" t="str">
        <f t="shared" si="30"/>
        <v xml:space="preserve">0 </v>
      </c>
      <c r="AC74" s="35" t="str">
        <f t="shared" si="30"/>
        <v xml:space="preserve">0.3 </v>
      </c>
      <c r="AD74" s="35" t="str">
        <f t="shared" si="30"/>
        <v xml:space="preserve">0.3 </v>
      </c>
      <c r="AE74" s="35" t="str">
        <f t="shared" si="30"/>
        <v xml:space="preserve">0.3 </v>
      </c>
      <c r="AF74" s="35" t="str">
        <f t="shared" si="30"/>
        <v xml:space="preserve">0.2 </v>
      </c>
      <c r="AG74" s="35" t="str">
        <f t="shared" si="30"/>
        <v xml:space="preserve">0.2 </v>
      </c>
      <c r="AH74" s="35" t="str">
        <f t="shared" si="30"/>
        <v xml:space="preserve">0.4 </v>
      </c>
      <c r="AI74" s="35" t="str">
        <f t="shared" si="30"/>
        <v xml:space="preserve">0 </v>
      </c>
      <c r="AJ74" s="35" t="str">
        <f t="shared" si="30"/>
        <v xml:space="preserve">0 </v>
      </c>
      <c r="AK74" s="35" t="str">
        <f t="shared" si="30"/>
        <v xml:space="preserve">0.09 </v>
      </c>
      <c r="AL74" s="35" t="str">
        <f t="shared" si="30"/>
        <v xml:space="preserve">0.65 </v>
      </c>
      <c r="AM74" s="35" t="str">
        <f t="shared" si="30"/>
        <v xml:space="preserve">1 </v>
      </c>
      <c r="AN74" s="35" t="str">
        <f t="shared" si="30"/>
        <v xml:space="preserve">0 </v>
      </c>
      <c r="AO74" s="35" t="str">
        <f t="shared" si="30"/>
        <v xml:space="preserve">0 </v>
      </c>
      <c r="AP74" s="35" t="str">
        <f t="shared" si="30"/>
        <v xml:space="preserve">0 </v>
      </c>
      <c r="AQ74" s="35" t="str">
        <f t="shared" si="30"/>
        <v xml:space="preserve">0 </v>
      </c>
      <c r="AR74" s="35" t="str">
        <f t="shared" si="30"/>
        <v xml:space="preserve">0 </v>
      </c>
      <c r="AS74" s="35" t="str">
        <f t="shared" si="30"/>
        <v xml:space="preserve">0 </v>
      </c>
      <c r="AT74" s="35" t="str">
        <f>_xlfn.CONCAT(J74:AS74,"; ")</f>
        <v xml:space="preserve">0.4 0.4 0.4 0.4 0 0.2 -0.1 0 0 0.2 0.2 0.1 0.3 0.3 0.3 0 0.5 0.3 0 0.3 0.3 0.3 0.2 0.2 0.4 0 0 0.09 0.65 1 0 0 0 0 0 0 ; </v>
      </c>
      <c r="AU74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0.42 0.42 0.42 0.42 0 0.3 -0.14 0.1 -0.02 0.35 0.35 0.25 0.22 0.22 0.22 0.2 0.71 0.35 0 0.35 0.33 0.22 0.35 0.35 0.38 0.2 0.2 0.59 1 0 0 0 0 0 0 0 ; 0.4 0.4 0.4 0.4 0 0.2 -0.1 0 0 0.2 0.2 0.1 0.3 0.3 0.3 0 0.5 0.3 0 0.3 0.3 0.3 0.2 0.2 0.4 0 0 0.09 0.65 1 0 0 0 0 0 0 ; </v>
      </c>
    </row>
    <row r="75" spans="10:47">
      <c r="J75" s="35" t="str">
        <f t="shared" ref="J75:AS75" si="31">N(J36)&amp;" "</f>
        <v xml:space="preserve">0.6 </v>
      </c>
      <c r="K75" s="35" t="str">
        <f t="shared" si="31"/>
        <v xml:space="preserve">0.6 </v>
      </c>
      <c r="L75" s="35" t="str">
        <f t="shared" si="31"/>
        <v xml:space="preserve">0.6 </v>
      </c>
      <c r="M75" s="35" t="str">
        <f t="shared" si="31"/>
        <v xml:space="preserve">0.6 </v>
      </c>
      <c r="N75" s="35" t="str">
        <f t="shared" si="31"/>
        <v xml:space="preserve">0 </v>
      </c>
      <c r="O75" s="35" t="str">
        <f t="shared" si="31"/>
        <v xml:space="preserve">0.5 </v>
      </c>
      <c r="P75" s="35" t="str">
        <f t="shared" si="31"/>
        <v xml:space="preserve">-0.3 </v>
      </c>
      <c r="Q75" s="35" t="str">
        <f t="shared" si="31"/>
        <v xml:space="preserve">0 </v>
      </c>
      <c r="R75" s="35" t="str">
        <f t="shared" si="31"/>
        <v xml:space="preserve">-0.1 </v>
      </c>
      <c r="S75" s="35" t="str">
        <f t="shared" si="31"/>
        <v xml:space="preserve">0.8 </v>
      </c>
      <c r="T75" s="35" t="str">
        <f t="shared" si="31"/>
        <v xml:space="preserve">0.8 </v>
      </c>
      <c r="U75" s="35" t="str">
        <f t="shared" si="31"/>
        <v xml:space="preserve">0.6 </v>
      </c>
      <c r="V75" s="35" t="str">
        <f t="shared" si="31"/>
        <v xml:space="preserve">0.3 </v>
      </c>
      <c r="W75" s="35" t="str">
        <f t="shared" si="31"/>
        <v xml:space="preserve">0.3 </v>
      </c>
      <c r="X75" s="35" t="str">
        <f t="shared" si="31"/>
        <v xml:space="preserve">0.3 </v>
      </c>
      <c r="Y75" s="35" t="str">
        <f t="shared" si="31"/>
        <v xml:space="preserve">0.5 </v>
      </c>
      <c r="Z75" s="35" t="str">
        <f t="shared" si="31"/>
        <v xml:space="preserve">0.7 </v>
      </c>
      <c r="AA75" s="35" t="str">
        <f t="shared" si="31"/>
        <v xml:space="preserve">0.6 </v>
      </c>
      <c r="AB75" s="35" t="str">
        <f t="shared" si="31"/>
        <v xml:space="preserve">0 </v>
      </c>
      <c r="AC75" s="35" t="str">
        <f t="shared" si="31"/>
        <v xml:space="preserve">0.6 </v>
      </c>
      <c r="AD75" s="35" t="str">
        <f t="shared" si="31"/>
        <v xml:space="preserve">0.6 </v>
      </c>
      <c r="AE75" s="35" t="str">
        <f t="shared" si="31"/>
        <v xml:space="preserve">0.3 </v>
      </c>
      <c r="AF75" s="35" t="str">
        <f t="shared" si="31"/>
        <v xml:space="preserve">0.8 </v>
      </c>
      <c r="AG75" s="35" t="str">
        <f t="shared" si="31"/>
        <v xml:space="preserve">0.8 </v>
      </c>
      <c r="AH75" s="35" t="str">
        <f t="shared" si="31"/>
        <v xml:space="preserve">0.5 </v>
      </c>
      <c r="AI75" s="35" t="str">
        <f t="shared" si="31"/>
        <v xml:space="preserve">0.5 </v>
      </c>
      <c r="AJ75" s="35" t="str">
        <f t="shared" si="31"/>
        <v xml:space="preserve">0.5 </v>
      </c>
      <c r="AK75" s="35" t="str">
        <f t="shared" si="31"/>
        <v xml:space="preserve">0.84 </v>
      </c>
      <c r="AL75" s="35" t="str">
        <f t="shared" si="31"/>
        <v xml:space="preserve">0.59 </v>
      </c>
      <c r="AM75" s="35" t="str">
        <f t="shared" si="31"/>
        <v xml:space="preserve">0.26 </v>
      </c>
      <c r="AN75" s="35" t="str">
        <f t="shared" si="31"/>
        <v xml:space="preserve">1 </v>
      </c>
      <c r="AO75" s="35" t="str">
        <f t="shared" si="31"/>
        <v xml:space="preserve">0 </v>
      </c>
      <c r="AP75" s="35" t="str">
        <f t="shared" si="31"/>
        <v xml:space="preserve">0 </v>
      </c>
      <c r="AQ75" s="35" t="str">
        <f t="shared" si="31"/>
        <v xml:space="preserve">0 </v>
      </c>
      <c r="AR75" s="35" t="str">
        <f t="shared" si="31"/>
        <v xml:space="preserve">0 </v>
      </c>
      <c r="AS75" s="35" t="str">
        <f t="shared" si="31"/>
        <v xml:space="preserve">0 </v>
      </c>
      <c r="AT75" s="35" t="str">
        <f>_xlfn.CONCAT(J75:AS75,"; ")</f>
        <v xml:space="preserve">0.6 0.6 0.6 0.6 0 0.5 -0.3 0 -0.1 0.8 0.8 0.6 0.3 0.3 0.3 0.5 0.7 0.6 0 0.6 0.6 0.3 0.8 0.8 0.5 0.5 0.5 0.84 0.59 0.26 1 0 0 0 0 0 ; </v>
      </c>
      <c r="AU75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0.42 0.42 0.42 0.42 0 0.3 -0.14 0.1 -0.02 0.35 0.35 0.25 0.22 0.22 0.22 0.2 0.71 0.35 0 0.35 0.33 0.22 0.35 0.35 0.38 0.2 0.2 0.59 1 0 0 0 0 0 0 0 ; 0.4 0.4 0.4 0.4 0 0.2 -0.1 0 0 0.2 0.2 0.1 0.3 0.3 0.3 0 0.5 0.3 0 0.3 0.3 0.3 0.2 0.2 0.4 0 0 0.09 0.65 1 0 0 0 0 0 0 ; 0.6 0.6 0.6 0.6 0 0.5 -0.3 0 -0.1 0.8 0.8 0.6 0.3 0.3 0.3 0.5 0.7 0.6 0 0.6 0.6 0.3 0.8 0.8 0.5 0.5 0.5 0.84 0.59 0.26 1 0 0 0 0 0 ; </v>
      </c>
    </row>
    <row r="76" spans="10:47">
      <c r="J76" s="35" t="str">
        <f t="shared" ref="J76:AS76" si="32">N(J37)&amp;" "</f>
        <v xml:space="preserve">0.75 </v>
      </c>
      <c r="K76" s="35" t="str">
        <f t="shared" si="32"/>
        <v xml:space="preserve">0.75 </v>
      </c>
      <c r="L76" s="35" t="str">
        <f t="shared" si="32"/>
        <v xml:space="preserve">0.75 </v>
      </c>
      <c r="M76" s="35" t="str">
        <f t="shared" si="32"/>
        <v xml:space="preserve">0.75 </v>
      </c>
      <c r="N76" s="35" t="str">
        <f t="shared" si="32"/>
        <v xml:space="preserve">0 </v>
      </c>
      <c r="O76" s="35" t="str">
        <f t="shared" si="32"/>
        <v xml:space="preserve">0.4 </v>
      </c>
      <c r="P76" s="35" t="str">
        <f t="shared" si="32"/>
        <v xml:space="preserve">-0.3 </v>
      </c>
      <c r="Q76" s="35" t="str">
        <f t="shared" si="32"/>
        <v xml:space="preserve">0 </v>
      </c>
      <c r="R76" s="35" t="str">
        <f t="shared" si="32"/>
        <v xml:space="preserve">-0.1 </v>
      </c>
      <c r="S76" s="35" t="str">
        <f t="shared" si="32"/>
        <v xml:space="preserve">0.6 </v>
      </c>
      <c r="T76" s="35" t="str">
        <f t="shared" si="32"/>
        <v xml:space="preserve">0.6 </v>
      </c>
      <c r="U76" s="35" t="str">
        <f t="shared" si="32"/>
        <v xml:space="preserve">0.4 </v>
      </c>
      <c r="V76" s="35" t="str">
        <f t="shared" si="32"/>
        <v xml:space="preserve">0.4 </v>
      </c>
      <c r="W76" s="35" t="str">
        <f t="shared" si="32"/>
        <v xml:space="preserve">0.3 </v>
      </c>
      <c r="X76" s="35" t="str">
        <f t="shared" si="32"/>
        <v xml:space="preserve">0.3 </v>
      </c>
      <c r="Y76" s="35" t="str">
        <f t="shared" si="32"/>
        <v xml:space="preserve">0.6 </v>
      </c>
      <c r="Z76" s="35" t="str">
        <f t="shared" si="32"/>
        <v xml:space="preserve">0.8 </v>
      </c>
      <c r="AA76" s="35" t="str">
        <f t="shared" si="32"/>
        <v xml:space="preserve">0.8 </v>
      </c>
      <c r="AB76" s="35" t="str">
        <f t="shared" si="32"/>
        <v xml:space="preserve">0 </v>
      </c>
      <c r="AC76" s="35" t="str">
        <f t="shared" si="32"/>
        <v xml:space="preserve">0.6 </v>
      </c>
      <c r="AD76" s="35" t="str">
        <f t="shared" si="32"/>
        <v xml:space="preserve">0.4 </v>
      </c>
      <c r="AE76" s="35" t="str">
        <f t="shared" si="32"/>
        <v xml:space="preserve">0.3 </v>
      </c>
      <c r="AF76" s="35" t="str">
        <f t="shared" si="32"/>
        <v xml:space="preserve">0.6 </v>
      </c>
      <c r="AG76" s="35" t="str">
        <f t="shared" si="32"/>
        <v xml:space="preserve">0.6 </v>
      </c>
      <c r="AH76" s="35" t="str">
        <f t="shared" si="32"/>
        <v xml:space="preserve">0.65 </v>
      </c>
      <c r="AI76" s="35" t="str">
        <f t="shared" si="32"/>
        <v xml:space="preserve">0.6 </v>
      </c>
      <c r="AJ76" s="35" t="str">
        <f t="shared" si="32"/>
        <v xml:space="preserve">0.6 </v>
      </c>
      <c r="AK76" s="35" t="str">
        <f t="shared" si="32"/>
        <v xml:space="preserve">0.94 </v>
      </c>
      <c r="AL76" s="35" t="str">
        <f t="shared" si="32"/>
        <v xml:space="preserve">0.52 </v>
      </c>
      <c r="AM76" s="35" t="str">
        <f t="shared" si="32"/>
        <v xml:space="preserve">0.1 </v>
      </c>
      <c r="AN76" s="35" t="str">
        <f t="shared" si="32"/>
        <v xml:space="preserve">0.76 </v>
      </c>
      <c r="AO76" s="35" t="str">
        <f t="shared" si="32"/>
        <v xml:space="preserve">1 </v>
      </c>
      <c r="AP76" s="35" t="str">
        <f t="shared" si="32"/>
        <v xml:space="preserve">0 </v>
      </c>
      <c r="AQ76" s="35" t="str">
        <f t="shared" si="32"/>
        <v xml:space="preserve">0 </v>
      </c>
      <c r="AR76" s="35" t="str">
        <f t="shared" si="32"/>
        <v xml:space="preserve">0 </v>
      </c>
      <c r="AS76" s="35" t="str">
        <f t="shared" si="32"/>
        <v xml:space="preserve">0 </v>
      </c>
      <c r="AT76" s="35" t="str">
        <f>_xlfn.CONCAT(J76:AS76,"; ")</f>
        <v xml:space="preserve">0.75 0.75 0.75 0.75 0 0.4 -0.3 0 -0.1 0.6 0.6 0.4 0.4 0.3 0.3 0.6 0.8 0.8 0 0.6 0.4 0.3 0.6 0.6 0.65 0.6 0.6 0.94 0.52 0.1 0.76 1 0 0 0 0 ; </v>
      </c>
      <c r="AU76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0.42 0.42 0.42 0.42 0 0.3 -0.14 0.1 -0.02 0.35 0.35 0.25 0.22 0.22 0.22 0.2 0.71 0.35 0 0.35 0.33 0.22 0.35 0.35 0.38 0.2 0.2 0.59 1 0 0 0 0 0 0 0 ; 0.4 0.4 0.4 0.4 0 0.2 -0.1 0 0 0.2 0.2 0.1 0.3 0.3 0.3 0 0.5 0.3 0 0.3 0.3 0.3 0.2 0.2 0.4 0 0 0.09 0.65 1 0 0 0 0 0 0 ; 0.6 0.6 0.6 0.6 0 0.5 -0.3 0 -0.1 0.8 0.8 0.6 0.3 0.3 0.3 0.5 0.7 0.6 0 0.6 0.6 0.3 0.8 0.8 0.5 0.5 0.5 0.84 0.59 0.26 1 0 0 0 0 0 ; 0.75 0.75 0.75 0.75 0 0.4 -0.3 0 -0.1 0.6 0.6 0.4 0.4 0.3 0.3 0.6 0.8 0.8 0 0.6 0.4 0.3 0.6 0.6 0.65 0.6 0.6 0.94 0.52 0.1 0.76 1 0 0 0 0 ; </v>
      </c>
    </row>
    <row r="77" spans="10:47">
      <c r="J77" s="35" t="str">
        <f t="shared" ref="J77:AS77" si="33">N(J38)&amp;" "</f>
        <v xml:space="preserve">0.85 </v>
      </c>
      <c r="K77" s="35" t="str">
        <f t="shared" si="33"/>
        <v xml:space="preserve">0.85 </v>
      </c>
      <c r="L77" s="35" t="str">
        <f t="shared" si="33"/>
        <v xml:space="preserve">0.85 </v>
      </c>
      <c r="M77" s="35" t="str">
        <f t="shared" si="33"/>
        <v xml:space="preserve">0.85 </v>
      </c>
      <c r="N77" s="35" t="str">
        <f t="shared" si="33"/>
        <v xml:space="preserve">0 </v>
      </c>
      <c r="O77" s="35" t="str">
        <f t="shared" si="33"/>
        <v xml:space="preserve">0.4 </v>
      </c>
      <c r="P77" s="35" t="str">
        <f t="shared" si="33"/>
        <v xml:space="preserve">-0.3 </v>
      </c>
      <c r="Q77" s="35" t="str">
        <f t="shared" si="33"/>
        <v xml:space="preserve">0 </v>
      </c>
      <c r="R77" s="35" t="str">
        <f t="shared" si="33"/>
        <v xml:space="preserve">-0.1 </v>
      </c>
      <c r="S77" s="35" t="str">
        <f t="shared" si="33"/>
        <v xml:space="preserve">0.4 </v>
      </c>
      <c r="T77" s="35" t="str">
        <f t="shared" si="33"/>
        <v xml:space="preserve">0.4 </v>
      </c>
      <c r="U77" s="35" t="str">
        <f t="shared" si="33"/>
        <v xml:space="preserve">0.4 </v>
      </c>
      <c r="V77" s="35" t="str">
        <f t="shared" si="33"/>
        <v xml:space="preserve">0.4 </v>
      </c>
      <c r="W77" s="35" t="str">
        <f t="shared" si="33"/>
        <v xml:space="preserve">0.3 </v>
      </c>
      <c r="X77" s="35" t="str">
        <f t="shared" si="33"/>
        <v xml:space="preserve">0.3 </v>
      </c>
      <c r="Y77" s="35" t="str">
        <f t="shared" si="33"/>
        <v xml:space="preserve">0.7 </v>
      </c>
      <c r="Z77" s="35" t="str">
        <f t="shared" si="33"/>
        <v xml:space="preserve">0.7 </v>
      </c>
      <c r="AA77" s="35" t="str">
        <f t="shared" si="33"/>
        <v xml:space="preserve">0.65 </v>
      </c>
      <c r="AB77" s="35" t="str">
        <f t="shared" si="33"/>
        <v xml:space="preserve">0 </v>
      </c>
      <c r="AC77" s="35" t="str">
        <f t="shared" si="33"/>
        <v xml:space="preserve">0.4 </v>
      </c>
      <c r="AD77" s="35" t="str">
        <f t="shared" si="33"/>
        <v xml:space="preserve">0.4 </v>
      </c>
      <c r="AE77" s="35" t="str">
        <f t="shared" si="33"/>
        <v xml:space="preserve">0.3 </v>
      </c>
      <c r="AF77" s="35" t="str">
        <f t="shared" si="33"/>
        <v xml:space="preserve">0.4 </v>
      </c>
      <c r="AG77" s="35" t="str">
        <f t="shared" si="33"/>
        <v xml:space="preserve">0.4 </v>
      </c>
      <c r="AH77" s="35" t="str">
        <f t="shared" si="33"/>
        <v xml:space="preserve">0.75 </v>
      </c>
      <c r="AI77" s="35" t="str">
        <f t="shared" si="33"/>
        <v xml:space="preserve">0.7 </v>
      </c>
      <c r="AJ77" s="35" t="str">
        <f t="shared" si="33"/>
        <v xml:space="preserve">0.7 </v>
      </c>
      <c r="AK77" s="35" t="str">
        <f t="shared" si="33"/>
        <v xml:space="preserve">0.96 </v>
      </c>
      <c r="AL77" s="35" t="str">
        <f t="shared" si="33"/>
        <v xml:space="preserve">0.53 </v>
      </c>
      <c r="AM77" s="35" t="str">
        <f t="shared" si="33"/>
        <v xml:space="preserve">0 </v>
      </c>
      <c r="AN77" s="35" t="str">
        <f t="shared" si="33"/>
        <v xml:space="preserve">0.71 </v>
      </c>
      <c r="AO77" s="35" t="str">
        <f t="shared" si="33"/>
        <v xml:space="preserve">0.85 </v>
      </c>
      <c r="AP77" s="35" t="str">
        <f t="shared" si="33"/>
        <v xml:space="preserve">1 </v>
      </c>
      <c r="AQ77" s="35" t="str">
        <f t="shared" si="33"/>
        <v xml:space="preserve">0 </v>
      </c>
      <c r="AR77" s="35" t="str">
        <f t="shared" si="33"/>
        <v xml:space="preserve">0 </v>
      </c>
      <c r="AS77" s="35" t="str">
        <f t="shared" si="33"/>
        <v xml:space="preserve">0 </v>
      </c>
      <c r="AT77" s="35" t="str">
        <f>_xlfn.CONCAT(J77:AS77,"; ")</f>
        <v xml:space="preserve">0.85 0.85 0.85 0.85 0 0.4 -0.3 0 -0.1 0.4 0.4 0.4 0.4 0.3 0.3 0.7 0.7 0.65 0 0.4 0.4 0.3 0.4 0.4 0.75 0.7 0.7 0.96 0.53 0 0.71 0.85 1 0 0 0 ; </v>
      </c>
      <c r="AU77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0.42 0.42 0.42 0.42 0 0.3 -0.14 0.1 -0.02 0.35 0.35 0.25 0.22 0.22 0.22 0.2 0.71 0.35 0 0.35 0.33 0.22 0.35 0.35 0.38 0.2 0.2 0.59 1 0 0 0 0 0 0 0 ; 0.4 0.4 0.4 0.4 0 0.2 -0.1 0 0 0.2 0.2 0.1 0.3 0.3 0.3 0 0.5 0.3 0 0.3 0.3 0.3 0.2 0.2 0.4 0 0 0.09 0.65 1 0 0 0 0 0 0 ; 0.6 0.6 0.6 0.6 0 0.5 -0.3 0 -0.1 0.8 0.8 0.6 0.3 0.3 0.3 0.5 0.7 0.6 0 0.6 0.6 0.3 0.8 0.8 0.5 0.5 0.5 0.84 0.59 0.26 1 0 0 0 0 0 ; 0.75 0.75 0.75 0.75 0 0.4 -0.3 0 -0.1 0.6 0.6 0.4 0.4 0.3 0.3 0.6 0.8 0.8 0 0.6 0.4 0.3 0.6 0.6 0.65 0.6 0.6 0.94 0.52 0.1 0.76 1 0 0 0 0 ; 0.85 0.85 0.85 0.85 0 0.4 -0.3 0 -0.1 0.4 0.4 0.4 0.4 0.3 0.3 0.7 0.7 0.65 0 0.4 0.4 0.3 0.4 0.4 0.75 0.7 0.7 0.96 0.53 0 0.71 0.85 1 0 0 0 ; </v>
      </c>
    </row>
    <row r="78" spans="10:47">
      <c r="J78" s="35" t="str">
        <f t="shared" ref="J78:AS78" si="34">N(J39)&amp;" "</f>
        <v xml:space="preserve">0.1 </v>
      </c>
      <c r="K78" s="35" t="str">
        <f t="shared" si="34"/>
        <v xml:space="preserve">0.1 </v>
      </c>
      <c r="L78" s="35" t="str">
        <f t="shared" si="34"/>
        <v xml:space="preserve">0.1 </v>
      </c>
      <c r="M78" s="35" t="str">
        <f t="shared" si="34"/>
        <v xml:space="preserve">0.1 </v>
      </c>
      <c r="N78" s="35" t="str">
        <f t="shared" si="34"/>
        <v xml:space="preserve">0 </v>
      </c>
      <c r="O78" s="35" t="str">
        <f t="shared" si="34"/>
        <v xml:space="preserve">0.1 </v>
      </c>
      <c r="P78" s="35" t="str">
        <f t="shared" si="34"/>
        <v xml:space="preserve">0 </v>
      </c>
      <c r="Q78" s="35" t="str">
        <f t="shared" si="34"/>
        <v xml:space="preserve">0.15 </v>
      </c>
      <c r="R78" s="35" t="str">
        <f t="shared" si="34"/>
        <v xml:space="preserve">0 </v>
      </c>
      <c r="S78" s="35" t="str">
        <f t="shared" si="34"/>
        <v xml:space="preserve">0 </v>
      </c>
      <c r="T78" s="35" t="str">
        <f t="shared" si="34"/>
        <v xml:space="preserve">0 </v>
      </c>
      <c r="U78" s="35" t="str">
        <f t="shared" si="34"/>
        <v xml:space="preserve">0 </v>
      </c>
      <c r="V78" s="35" t="str">
        <f t="shared" si="34"/>
        <v xml:space="preserve">0 </v>
      </c>
      <c r="W78" s="35" t="str">
        <f t="shared" si="34"/>
        <v xml:space="preserve">0 </v>
      </c>
      <c r="X78" s="35" t="str">
        <f t="shared" si="34"/>
        <v xml:space="preserve">0 </v>
      </c>
      <c r="Y78" s="35" t="str">
        <f t="shared" si="34"/>
        <v xml:space="preserve">0 </v>
      </c>
      <c r="Z78" s="35" t="str">
        <f t="shared" si="34"/>
        <v xml:space="preserve">0.4 </v>
      </c>
      <c r="AA78" s="35" t="str">
        <f t="shared" si="34"/>
        <v xml:space="preserve">0 </v>
      </c>
      <c r="AB78" s="35" t="str">
        <f t="shared" si="34"/>
        <v xml:space="preserve">0 </v>
      </c>
      <c r="AC78" s="35" t="str">
        <f t="shared" si="34"/>
        <v xml:space="preserve">0 </v>
      </c>
      <c r="AD78" s="35" t="str">
        <f t="shared" si="34"/>
        <v xml:space="preserve">0 </v>
      </c>
      <c r="AE78" s="35" t="str">
        <f t="shared" si="34"/>
        <v xml:space="preserve">0 </v>
      </c>
      <c r="AF78" s="35" t="str">
        <f t="shared" si="34"/>
        <v xml:space="preserve">0 </v>
      </c>
      <c r="AG78" s="35" t="str">
        <f t="shared" si="34"/>
        <v xml:space="preserve">0 </v>
      </c>
      <c r="AH78" s="35" t="str">
        <f t="shared" si="34"/>
        <v xml:space="preserve">0.1 </v>
      </c>
      <c r="AI78" s="35" t="str">
        <f t="shared" si="34"/>
        <v xml:space="preserve">0 </v>
      </c>
      <c r="AJ78" s="35" t="str">
        <f t="shared" si="34"/>
        <v xml:space="preserve">0 </v>
      </c>
      <c r="AK78" s="35" t="str">
        <f t="shared" si="34"/>
        <v xml:space="preserve">0.45 </v>
      </c>
      <c r="AL78" s="35" t="str">
        <f t="shared" si="34"/>
        <v xml:space="preserve">0.8 </v>
      </c>
      <c r="AM78" s="35" t="str">
        <f t="shared" si="34"/>
        <v xml:space="preserve">0.4 </v>
      </c>
      <c r="AN78" s="35" t="str">
        <f t="shared" si="34"/>
        <v xml:space="preserve">0.3 </v>
      </c>
      <c r="AO78" s="35" t="str">
        <f t="shared" si="34"/>
        <v xml:space="preserve">0.42 </v>
      </c>
      <c r="AP78" s="35" t="str">
        <f t="shared" si="34"/>
        <v xml:space="preserve">0.42 </v>
      </c>
      <c r="AQ78" s="35" t="str">
        <f t="shared" si="34"/>
        <v xml:space="preserve">1 </v>
      </c>
      <c r="AR78" s="35" t="str">
        <f t="shared" si="34"/>
        <v xml:space="preserve">0 </v>
      </c>
      <c r="AS78" s="35" t="str">
        <f t="shared" si="34"/>
        <v xml:space="preserve">0 </v>
      </c>
      <c r="AT78" s="35" t="str">
        <f>_xlfn.CONCAT(J78:AS78,"; ")</f>
        <v xml:space="preserve">0.1 0.1 0.1 0.1 0 0.1 0 0.15 0 0 0 0 0 0 0 0 0.4 0 0 0 0 0 0 0 0.1 0 0 0.45 0.8 0.4 0.3 0.42 0.42 1 0 0 ; </v>
      </c>
      <c r="AU78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0.42 0.42 0.42 0.42 0 0.3 -0.14 0.1 -0.02 0.35 0.35 0.25 0.22 0.22 0.22 0.2 0.71 0.35 0 0.35 0.33 0.22 0.35 0.35 0.38 0.2 0.2 0.59 1 0 0 0 0 0 0 0 ; 0.4 0.4 0.4 0.4 0 0.2 -0.1 0 0 0.2 0.2 0.1 0.3 0.3 0.3 0 0.5 0.3 0 0.3 0.3 0.3 0.2 0.2 0.4 0 0 0.09 0.65 1 0 0 0 0 0 0 ; 0.6 0.6 0.6 0.6 0 0.5 -0.3 0 -0.1 0.8 0.8 0.6 0.3 0.3 0.3 0.5 0.7 0.6 0 0.6 0.6 0.3 0.8 0.8 0.5 0.5 0.5 0.84 0.59 0.26 1 0 0 0 0 0 ; 0.75 0.75 0.75 0.75 0 0.4 -0.3 0 -0.1 0.6 0.6 0.4 0.4 0.3 0.3 0.6 0.8 0.8 0 0.6 0.4 0.3 0.6 0.6 0.65 0.6 0.6 0.94 0.52 0.1 0.76 1 0 0 0 0 ; 0.85 0.85 0.85 0.85 0 0.4 -0.3 0 -0.1 0.4 0.4 0.4 0.4 0.3 0.3 0.7 0.7 0.65 0 0.4 0.4 0.3 0.4 0.4 0.75 0.7 0.7 0.96 0.53 0 0.71 0.85 1 0 0 0 ; 0.1 0.1 0.1 0.1 0 0.1 0 0.15 0 0 0 0 0 0 0 0 0.4 0 0 0 0 0 0 0 0.1 0 0 0.45 0.8 0.4 0.3 0.42 0.42 1 0 0 ; </v>
      </c>
    </row>
    <row r="79" spans="10:47">
      <c r="J79" s="35" t="str">
        <f t="shared" ref="J79:AS79" si="35">N(J40)&amp;" "</f>
        <v xml:space="preserve">0 </v>
      </c>
      <c r="K79" s="35" t="str">
        <f t="shared" si="35"/>
        <v xml:space="preserve">0 </v>
      </c>
      <c r="L79" s="35" t="str">
        <f t="shared" si="35"/>
        <v xml:space="preserve">0 </v>
      </c>
      <c r="M79" s="35" t="str">
        <f t="shared" si="35"/>
        <v xml:space="preserve">0 </v>
      </c>
      <c r="N79" s="35" t="str">
        <f t="shared" si="35"/>
        <v xml:space="preserve">0 </v>
      </c>
      <c r="O79" s="35" t="str">
        <f t="shared" si="35"/>
        <v xml:space="preserve">0 </v>
      </c>
      <c r="P79" s="35" t="str">
        <f t="shared" si="35"/>
        <v xml:space="preserve">0 </v>
      </c>
      <c r="Q79" s="35" t="str">
        <f t="shared" si="35"/>
        <v xml:space="preserve">15 </v>
      </c>
      <c r="R79" s="35" t="str">
        <f t="shared" si="35"/>
        <v xml:space="preserve">0 </v>
      </c>
      <c r="S79" s="35" t="str">
        <f t="shared" si="35"/>
        <v xml:space="preserve">0 </v>
      </c>
      <c r="T79" s="35" t="str">
        <f t="shared" si="35"/>
        <v xml:space="preserve">0 </v>
      </c>
      <c r="U79" s="35" t="str">
        <f t="shared" si="35"/>
        <v xml:space="preserve">0 </v>
      </c>
      <c r="V79" s="35" t="str">
        <f t="shared" si="35"/>
        <v xml:space="preserve">0 </v>
      </c>
      <c r="W79" s="35" t="str">
        <f t="shared" si="35"/>
        <v xml:space="preserve">0 </v>
      </c>
      <c r="X79" s="35" t="str">
        <f t="shared" si="35"/>
        <v xml:space="preserve">0 </v>
      </c>
      <c r="Y79" s="35" t="str">
        <f t="shared" si="35"/>
        <v xml:space="preserve">0 </v>
      </c>
      <c r="Z79" s="35" t="str">
        <f t="shared" si="35"/>
        <v xml:space="preserve">0.4 </v>
      </c>
      <c r="AA79" s="35" t="str">
        <f t="shared" si="35"/>
        <v xml:space="preserve">0 </v>
      </c>
      <c r="AB79" s="35" t="str">
        <f t="shared" si="35"/>
        <v xml:space="preserve">0 </v>
      </c>
      <c r="AC79" s="35" t="str">
        <f t="shared" si="35"/>
        <v xml:space="preserve">0 </v>
      </c>
      <c r="AD79" s="35" t="str">
        <f t="shared" si="35"/>
        <v xml:space="preserve">0 </v>
      </c>
      <c r="AE79" s="35" t="str">
        <f t="shared" si="35"/>
        <v xml:space="preserve">0 </v>
      </c>
      <c r="AF79" s="35" t="str">
        <f t="shared" si="35"/>
        <v xml:space="preserve">0 </v>
      </c>
      <c r="AG79" s="35" t="str">
        <f t="shared" si="35"/>
        <v xml:space="preserve">0 </v>
      </c>
      <c r="AH79" s="35" t="str">
        <f t="shared" si="35"/>
        <v xml:space="preserve">0 </v>
      </c>
      <c r="AI79" s="35" t="str">
        <f t="shared" si="35"/>
        <v xml:space="preserve">0 </v>
      </c>
      <c r="AJ79" s="35" t="str">
        <f t="shared" si="35"/>
        <v xml:space="preserve">0 </v>
      </c>
      <c r="AK79" s="35" t="str">
        <f t="shared" si="35"/>
        <v xml:space="preserve">0.11 </v>
      </c>
      <c r="AL79" s="35" t="str">
        <f t="shared" si="35"/>
        <v xml:space="preserve">0.57 </v>
      </c>
      <c r="AM79" s="35" t="str">
        <f t="shared" si="35"/>
        <v xml:space="preserve">0.15 </v>
      </c>
      <c r="AN79" s="35" t="str">
        <f t="shared" si="35"/>
        <v xml:space="preserve">0 </v>
      </c>
      <c r="AO79" s="35" t="str">
        <f t="shared" si="35"/>
        <v xml:space="preserve">0.01 </v>
      </c>
      <c r="AP79" s="35" t="str">
        <f t="shared" si="35"/>
        <v xml:space="preserve">0.18 </v>
      </c>
      <c r="AQ79" s="35" t="str">
        <f t="shared" si="35"/>
        <v xml:space="preserve">0.32 </v>
      </c>
      <c r="AR79" s="35" t="str">
        <f t="shared" si="35"/>
        <v xml:space="preserve">1 </v>
      </c>
      <c r="AS79" s="35" t="str">
        <f t="shared" si="35"/>
        <v xml:space="preserve">0 </v>
      </c>
      <c r="AT79" s="35" t="str">
        <f>_xlfn.CONCAT(J79:AS79,"; ")</f>
        <v xml:space="preserve">0 0 0 0 0 0 0 15 0 0 0 0 0 0 0 0 0.4 0 0 0 0 0 0 0 0 0 0 0.11 0.57 0.15 0 0.01 0.18 0.32 1 0 ; </v>
      </c>
      <c r="AU79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0.42 0.42 0.42 0.42 0 0.3 -0.14 0.1 -0.02 0.35 0.35 0.25 0.22 0.22 0.22 0.2 0.71 0.35 0 0.35 0.33 0.22 0.35 0.35 0.38 0.2 0.2 0.59 1 0 0 0 0 0 0 0 ; 0.4 0.4 0.4 0.4 0 0.2 -0.1 0 0 0.2 0.2 0.1 0.3 0.3 0.3 0 0.5 0.3 0 0.3 0.3 0.3 0.2 0.2 0.4 0 0 0.09 0.65 1 0 0 0 0 0 0 ; 0.6 0.6 0.6 0.6 0 0.5 -0.3 0 -0.1 0.8 0.8 0.6 0.3 0.3 0.3 0.5 0.7 0.6 0 0.6 0.6 0.3 0.8 0.8 0.5 0.5 0.5 0.84 0.59 0.26 1 0 0 0 0 0 ; 0.75 0.75 0.75 0.75 0 0.4 -0.3 0 -0.1 0.6 0.6 0.4 0.4 0.3 0.3 0.6 0.8 0.8 0 0.6 0.4 0.3 0.6 0.6 0.65 0.6 0.6 0.94 0.52 0.1 0.76 1 0 0 0 0 ; 0.85 0.85 0.85 0.85 0 0.4 -0.3 0 -0.1 0.4 0.4 0.4 0.4 0.3 0.3 0.7 0.7 0.65 0 0.4 0.4 0.3 0.4 0.4 0.75 0.7 0.7 0.96 0.53 0 0.71 0.85 1 0 0 0 ; 0.1 0.1 0.1 0.1 0 0.1 0 0.15 0 0 0 0 0 0 0 0 0.4 0 0 0 0 0 0 0 0.1 0 0 0.45 0.8 0.4 0.3 0.42 0.42 1 0 0 ; 0 0 0 0 0 0 0 15 0 0 0 0 0 0 0 0 0.4 0 0 0 0 0 0 0 0 0 0 0.11 0.57 0.15 0 0.01 0.18 0.32 1 0 ; </v>
      </c>
    </row>
    <row r="80" spans="10:47">
      <c r="J80" s="35" t="str">
        <f t="shared" ref="J80:AS80" si="36">N(J41)&amp;" "</f>
        <v xml:space="preserve">0.5 </v>
      </c>
      <c r="K80" s="35" t="str">
        <f t="shared" si="36"/>
        <v xml:space="preserve">0.5 </v>
      </c>
      <c r="L80" s="35" t="str">
        <f t="shared" si="36"/>
        <v xml:space="preserve">0.5 </v>
      </c>
      <c r="M80" s="35" t="str">
        <f t="shared" si="36"/>
        <v xml:space="preserve">0.5 </v>
      </c>
      <c r="N80" s="35" t="str">
        <f t="shared" si="36"/>
        <v xml:space="preserve">0 </v>
      </c>
      <c r="O80" s="35" t="str">
        <f t="shared" si="36"/>
        <v xml:space="preserve">0.4 </v>
      </c>
      <c r="P80" s="35" t="str">
        <f t="shared" si="36"/>
        <v xml:space="preserve">-0.2 </v>
      </c>
      <c r="Q80" s="35" t="str">
        <f t="shared" si="36"/>
        <v xml:space="preserve">0 </v>
      </c>
      <c r="R80" s="35" t="str">
        <f t="shared" si="36"/>
        <v xml:space="preserve">0 </v>
      </c>
      <c r="S80" s="35" t="str">
        <f t="shared" si="36"/>
        <v xml:space="preserve">0.5 </v>
      </c>
      <c r="T80" s="35" t="str">
        <f t="shared" si="36"/>
        <v xml:space="preserve">0.5 </v>
      </c>
      <c r="U80" s="35" t="str">
        <f t="shared" si="36"/>
        <v xml:space="preserve">0.4 </v>
      </c>
      <c r="V80" s="35" t="str">
        <f t="shared" si="36"/>
        <v xml:space="preserve">0.2 </v>
      </c>
      <c r="W80" s="35" t="str">
        <f t="shared" si="36"/>
        <v xml:space="preserve">0.2 </v>
      </c>
      <c r="X80" s="35" t="str">
        <f t="shared" si="36"/>
        <v xml:space="preserve">0.2 </v>
      </c>
      <c r="Y80" s="35" t="str">
        <f t="shared" si="36"/>
        <v xml:space="preserve">0.4 </v>
      </c>
      <c r="Z80" s="35" t="str">
        <f t="shared" si="36"/>
        <v xml:space="preserve">0.5 </v>
      </c>
      <c r="AA80" s="35" t="str">
        <f t="shared" si="36"/>
        <v xml:space="preserve">0.5 </v>
      </c>
      <c r="AB80" s="35" t="str">
        <f t="shared" si="36"/>
        <v xml:space="preserve">0 </v>
      </c>
      <c r="AC80" s="35" t="str">
        <f t="shared" si="36"/>
        <v xml:space="preserve">0.5 </v>
      </c>
      <c r="AD80" s="35" t="str">
        <f t="shared" si="36"/>
        <v xml:space="preserve">0.4 </v>
      </c>
      <c r="AE80" s="35" t="str">
        <f t="shared" si="36"/>
        <v xml:space="preserve">0.2 </v>
      </c>
      <c r="AF80" s="35" t="str">
        <f t="shared" si="36"/>
        <v xml:space="preserve">0.5 </v>
      </c>
      <c r="AG80" s="35" t="str">
        <f t="shared" si="36"/>
        <v xml:space="preserve">0.5 </v>
      </c>
      <c r="AH80" s="35" t="str">
        <f t="shared" si="36"/>
        <v xml:space="preserve">0.4 </v>
      </c>
      <c r="AI80" s="35" t="str">
        <f t="shared" si="36"/>
        <v xml:space="preserve">0.4 </v>
      </c>
      <c r="AJ80" s="35" t="str">
        <f t="shared" si="36"/>
        <v xml:space="preserve">0.4 </v>
      </c>
      <c r="AK80" s="35" t="str">
        <f t="shared" si="36"/>
        <v xml:space="preserve">0.9 </v>
      </c>
      <c r="AL80" s="35" t="str">
        <f t="shared" si="36"/>
        <v xml:space="preserve">0.76 </v>
      </c>
      <c r="AM80" s="35" t="str">
        <f t="shared" si="36"/>
        <v xml:space="preserve">0.18 </v>
      </c>
      <c r="AN80" s="35" t="str">
        <f t="shared" si="36"/>
        <v xml:space="preserve">0.87 </v>
      </c>
      <c r="AO80" s="35" t="str">
        <f t="shared" si="36"/>
        <v xml:space="preserve">0.84 </v>
      </c>
      <c r="AP80" s="35" t="str">
        <f t="shared" si="36"/>
        <v xml:space="preserve">0.8 </v>
      </c>
      <c r="AQ80" s="35" t="str">
        <f t="shared" si="36"/>
        <v xml:space="preserve">0.7 </v>
      </c>
      <c r="AR80" s="35" t="str">
        <f t="shared" si="36"/>
        <v xml:space="preserve">0.19 </v>
      </c>
      <c r="AS80" s="35" t="str">
        <f t="shared" si="36"/>
        <v xml:space="preserve">1 </v>
      </c>
      <c r="AT80" s="35" t="str">
        <f>_xlfn.CONCAT(J80:AS80,"; ")</f>
        <v xml:space="preserve">0.5 0.5 0.5 0.5 0 0.4 -0.2 0 0 0.5 0.5 0.4 0.2 0.2 0.2 0.4 0.5 0.5 0 0.5 0.4 0.2 0.5 0.5 0.4 0.4 0.4 0.9 0.76 0.18 0.87 0.84 0.8 0.7 0.19 1 ; </v>
      </c>
      <c r="AU80" s="35" t="str">
        <f t="shared" si="3"/>
        <v xml:space="preserve">[1 0 0 0 0 0 0 0 0 0 0 0 0 0 0 0 0 0 0 0 0 0 0 0 0 0 0 0 0 0 0 0 0 0 0 0 ; 0.85 1 0 0 0 0 0 0 0 0 0 0 0 0 0 0 0 0 0 0 0 0 0 0 0 0 0 0 0 0 0 0 0 0 0 0 ; 0.85 0.8 1 0 0 0 0 0 0 0 0 0 0 0 0 0 0 0 0 0 0 0 0 0 0 0 0 0 0 0 0 0 0 0 0 0 ; 0.9 0.9 0.85 1 0 0 0 0 0 0 0 0 0 0 0 0 0 0 0 0 0 0 0 0 0 0 0 0 0 0 0 0 0 0 0 0 ; 0 0 0.05 0 1 0 0 0 0 0 0 0 0 0 0 0 0 0 0 0 0 0 0 0 0 0 0 0 0 0 0 0 0 0 0 0 ; 0.25 0.25 0.3 0.25 0.87 1 0 0 0 0 0 0 0 0 0 0 0 0 0 0 0 0 0 0 0 0 0 0 0 0 0 0 0 0 0 0 ; -0.2 0 0 -0.05 0.85 0.65 1 0 0 0 0 0 0 0 0 0 0 0 0 0 0 0 0 0 0 0 0 0 0 0 0 0 0 0 0 0 ; 0 0 0.05 0 0.05 0.05 0 1 0 0 0 0 0 0 0 0 0 0 0 0 0 0 0 0 0 0 0 0 0 0 0 0 0 0 0 0 ; 0 0.15 0.15 0.1 0.8 0.7 0.65 -0.05 1 0 0 0 0 0 0 0 0 0 0 0 0 0 0 0 0 0 0 0 0 0 0 0 0 0 0 0 ; 0.65 0.6 0.6 0.6 0.19 0.5 -0.15 -0.15 0.3 1 0 0 0 0 0 0 0 0 0 0 0 0 0 0 0 0 0 0 0 0 0 0 0 0 0 0 ; 0.55 0.1 0.4 0.4 0.05 0.3 -0.2 0.2 0.3 0.8 1 0 0 0 0 0 0 0 0 0 0 0 0 0 0 0 0 0 0 0 0 0 0 0 0 0 ; 0.55 0.6 0.6 0.6 0.55 0.75 0.3 -0.15 0.55 0.7 0.4 1 0 0 0 0 0 0 0 0 0 0 0 0 0 0 0 0 0 0 0 0 0 0 0 0 ; 0.5 0.45 0.4 0.45 0 0.15 -0.1 0 0.3 0.65 0.4 0.25 1 0 0 0 0 0 0 0 0 0 0 0 0 0 0 0 0 0 0 0 0 0 0 0 ; 0.7 0.65 0.65 0.65 0.15 0.15 0 -0.15 0.2 0.65 0.4 0.5 0.75 1 0 0 0 0 0 0 0 0 0 0 0 0 0 0 0 0 0 0 0 0 0 0 ; 0.5 0.45 0.4 0.45 0 0.05 0.05 0 0 0.7 0.5 0.1 0.75 0.65 1 0 0 0 0 0 0 0 0 0 0 0 0 0 0 0 0 0 0 0 0 0 ; 0.8 0.7 0.6 0.7 0 0.25 -0.2 0 0 0.65 0.5 0.25 0.7 0.6 0.6 1 0 0 0 0 0 0 0 0 0 0 0 0 0 0 0 0 0 0 0 0 ; 0.7 0.7 0.65 0.7 0 0.3 -0.25 -0.1 0.15 0.7 0.8 0.55 0.2 0.55 0.2 0.3 1 0 0 0 0 0 0 0 0 0 0 0 0 0 0 0 0 0 0 0 ; 0.6 0.2 0.4 0.45 0.4 0.25 0.3 0.3 0.1 0 0 0.1 0.3 0.6 0.5 0.8 0.3 1 0 0 0 0 0 0 0 0 0 0 0 0 0 0 0 0 0 0 ; 0.1 0.1 0.1 0.1 -0.1 -0.1 -0.1 0 0.1 -0.1 -0.1 -0.1 0.05 0.05 0.05 0.35 0 0 1 0 0 0 0 0 0 0 0 0 0 0 0 0 0 0 0 0 ; 0.35 0.5 0.55 0.45 0.05 0.25 0.05 -0.1 0.35 0.35 0.3 0.35 0.1 0.25 0.1 0.2 0.6 0.2 0 1 0 0 0 0 0 0 0 0 0 0 0 0 0 0 0 0 ; 0.7 0.65 0.55 0.5 0 0.1 0 0 0.4 0.6 0.6 0.25 0.7 0.6 0.6 0.65 0.5 0.8 0 0.2 1 0 0 0 0 0 0 0 0 0 0 0 0 0 0 0 ; 0.5 0.5 0.54 0.51 -0.05 0.2 -0.2 0 0.15 0.65 0.65 0.4 0.35 0.35 0.35 0.5 0.6 0.8 0 0.4 0.4 1 0 0 0 0 0 0 0 0 0 0 0 0 0 0 ; 0.65 0.6 0.6 0.6 0.19 0.5 -0.15 -0.15 0.3 0.8 0.8 0.7 0.65 0.65 0.7 0.8 0.7 0 -0.1 0.35 0.6 0.65 1 0 0 0 0 0 0 0 0 0 0 0 0 0 ; 0.65 0.6 0.6 0.6 0.19 0.5 -0.15 -0.15 0.3 0.8 0.8 0.7 0.65 0.65 0.7 0.8 0.7 0 -0.1 0.35 0.6 0.65 0.97 1 0 0 0 0 0 0 0 0 0 0 0 0 ; 0.8 0.75 0.7 0.8 0 0.3 -0.1 0 0.1 0.75 0.5 0.4 0.7 0.7 0.7 0.8 0.75 0 -0.1 0.35 0.6 0.6 0.9 0.9 1 0 0 0 0 0 0 0 0 0 0 0 ; 0.8 0.7 0.6 0.7 0 0.25 -0.2 0 0 0.65 0.5 0.25 0.7 0.6 0.6 0.9 0.3 0.8 0 0.2 0.65 0.5 0.8 0.8 0.8 1 0 0 0 0 0 0 0 0 0 0 ; 0.8 0.7 0.6 0.7 0 0.25 -0.2 0 0 0.65 0.5 0.25 0.7 0.6 0.6 0.9 0.3 0.8 0 0.2 0.65 0.5 0.8 0.8 0.8 0.8 1 0 0 0 0 0 0 0 0 0 ; 0.81 0.81 0.81 0.81 0 0.45 -0.32 0 -0.1 0.57 0.57 0.47 0.4 0.32 0.32 0.67 0.77 0.72 0 0.53 0.47 0.32 0.57 0.57 0.71 0.67 0.67 1 0 0 0 0 0 0 0 0 ; 0.42 0.42 0.42 0.42 0 0.3 -0.14 0.1 -0.02 0.35 0.35 0.25 0.22 0.22 0.22 0.2 0.71 0.35 0 0.35 0.33 0.22 0.35 0.35 0.38 0.2 0.2 0.59 1 0 0 0 0 0 0 0 ; 0.4 0.4 0.4 0.4 0 0.2 -0.1 0 0 0.2 0.2 0.1 0.3 0.3 0.3 0 0.5 0.3 0 0.3 0.3 0.3 0.2 0.2 0.4 0 0 0.09 0.65 1 0 0 0 0 0 0 ; 0.6 0.6 0.6 0.6 0 0.5 -0.3 0 -0.1 0.8 0.8 0.6 0.3 0.3 0.3 0.5 0.7 0.6 0 0.6 0.6 0.3 0.8 0.8 0.5 0.5 0.5 0.84 0.59 0.26 1 0 0 0 0 0 ; 0.75 0.75 0.75 0.75 0 0.4 -0.3 0 -0.1 0.6 0.6 0.4 0.4 0.3 0.3 0.6 0.8 0.8 0 0.6 0.4 0.3 0.6 0.6 0.65 0.6 0.6 0.94 0.52 0.1 0.76 1 0 0 0 0 ; 0.85 0.85 0.85 0.85 0 0.4 -0.3 0 -0.1 0.4 0.4 0.4 0.4 0.3 0.3 0.7 0.7 0.65 0 0.4 0.4 0.3 0.4 0.4 0.75 0.7 0.7 0.96 0.53 0 0.71 0.85 1 0 0 0 ; 0.1 0.1 0.1 0.1 0 0.1 0 0.15 0 0 0 0 0 0 0 0 0.4 0 0 0 0 0 0 0 0.1 0 0 0.45 0.8 0.4 0.3 0.42 0.42 1 0 0 ; 0 0 0 0 0 0 0 15 0 0 0 0 0 0 0 0 0.4 0 0 0 0 0 0 0 0 0 0 0.11 0.57 0.15 0 0.01 0.18 0.32 1 0 ; 0.5 0.5 0.5 0.5 0 0.4 -0.2 0 0 0.5 0.5 0.4 0.2 0.2 0.2 0.4 0.5 0.5 0 0.5 0.4 0.2 0.5 0.5 0.4 0.4 0.4 0.9 0.76 0.18 0.87 0.84 0.8 0.7 0.19 1 ; </v>
      </c>
    </row>
    <row r="81" spans="10:45">
      <c r="J81" s="35" t="str">
        <f t="shared" ref="J81:AS81" si="37">J42&amp;" "</f>
        <v xml:space="preserve"> </v>
      </c>
      <c r="K81" s="35" t="str">
        <f t="shared" si="37"/>
        <v xml:space="preserve"> </v>
      </c>
      <c r="L81" s="35" t="str">
        <f t="shared" si="37"/>
        <v xml:space="preserve"> </v>
      </c>
      <c r="M81" s="35" t="str">
        <f t="shared" si="37"/>
        <v xml:space="preserve"> </v>
      </c>
      <c r="N81" s="35" t="str">
        <f t="shared" si="37"/>
        <v xml:space="preserve"> </v>
      </c>
      <c r="O81" s="35" t="str">
        <f t="shared" si="37"/>
        <v xml:space="preserve"> </v>
      </c>
      <c r="P81" s="35" t="str">
        <f t="shared" si="37"/>
        <v xml:space="preserve"> </v>
      </c>
      <c r="Q81" s="35" t="str">
        <f t="shared" si="37"/>
        <v xml:space="preserve"> </v>
      </c>
      <c r="R81" s="35" t="str">
        <f t="shared" si="37"/>
        <v xml:space="preserve"> </v>
      </c>
      <c r="S81" s="35" t="str">
        <f t="shared" si="37"/>
        <v xml:space="preserve"> </v>
      </c>
      <c r="T81" s="35" t="str">
        <f t="shared" si="37"/>
        <v xml:space="preserve"> </v>
      </c>
      <c r="U81" s="35" t="str">
        <f t="shared" si="37"/>
        <v xml:space="preserve"> </v>
      </c>
      <c r="V81" s="35" t="str">
        <f t="shared" si="37"/>
        <v xml:space="preserve"> </v>
      </c>
      <c r="W81" s="35" t="str">
        <f t="shared" si="37"/>
        <v xml:space="preserve"> </v>
      </c>
      <c r="X81" s="35" t="str">
        <f t="shared" si="37"/>
        <v xml:space="preserve"> </v>
      </c>
      <c r="Y81" s="35" t="str">
        <f t="shared" si="37"/>
        <v xml:space="preserve"> </v>
      </c>
      <c r="Z81" s="35" t="str">
        <f t="shared" si="37"/>
        <v xml:space="preserve"> </v>
      </c>
      <c r="AA81" s="35" t="str">
        <f t="shared" si="37"/>
        <v xml:space="preserve"> </v>
      </c>
      <c r="AB81" s="35" t="str">
        <f t="shared" si="37"/>
        <v xml:space="preserve"> </v>
      </c>
      <c r="AC81" s="35" t="str">
        <f t="shared" si="37"/>
        <v xml:space="preserve"> </v>
      </c>
      <c r="AD81" s="35" t="str">
        <f t="shared" si="37"/>
        <v xml:space="preserve"> </v>
      </c>
      <c r="AE81" s="35" t="str">
        <f t="shared" si="37"/>
        <v xml:space="preserve"> </v>
      </c>
      <c r="AF81" s="35" t="str">
        <f t="shared" si="37"/>
        <v xml:space="preserve"> </v>
      </c>
      <c r="AG81" s="35" t="str">
        <f t="shared" si="37"/>
        <v xml:space="preserve"> </v>
      </c>
      <c r="AH81" s="35" t="str">
        <f t="shared" si="37"/>
        <v xml:space="preserve"> </v>
      </c>
      <c r="AI81" s="35" t="str">
        <f t="shared" si="37"/>
        <v xml:space="preserve"> </v>
      </c>
      <c r="AJ81" s="35" t="str">
        <f t="shared" si="37"/>
        <v xml:space="preserve"> </v>
      </c>
      <c r="AK81" s="35" t="str">
        <f t="shared" si="37"/>
        <v xml:space="preserve"> </v>
      </c>
      <c r="AL81" s="35" t="str">
        <f t="shared" si="37"/>
        <v xml:space="preserve"> </v>
      </c>
      <c r="AM81" s="35" t="str">
        <f t="shared" si="37"/>
        <v xml:space="preserve"> </v>
      </c>
      <c r="AN81" s="35" t="str">
        <f t="shared" si="37"/>
        <v xml:space="preserve"> </v>
      </c>
      <c r="AO81" s="35" t="str">
        <f t="shared" si="37"/>
        <v xml:space="preserve"> </v>
      </c>
      <c r="AP81" s="35" t="str">
        <f t="shared" si="37"/>
        <v xml:space="preserve"> </v>
      </c>
      <c r="AQ81" s="35" t="str">
        <f t="shared" si="37"/>
        <v xml:space="preserve"> </v>
      </c>
      <c r="AR81" s="35" t="str">
        <f t="shared" si="37"/>
        <v xml:space="preserve"> </v>
      </c>
      <c r="AS81" s="35" t="str">
        <f t="shared" si="37"/>
        <v xml:space="preserve"> </v>
      </c>
    </row>
    <row r="82" spans="10:45">
      <c r="J82" s="35" t="str">
        <f t="shared" ref="J82:AS82" si="38">J43&amp;" "</f>
        <v xml:space="preserve"> </v>
      </c>
      <c r="K82" s="35" t="str">
        <f t="shared" si="38"/>
        <v xml:space="preserve"> </v>
      </c>
      <c r="L82" s="35" t="str">
        <f t="shared" si="38"/>
        <v xml:space="preserve"> </v>
      </c>
      <c r="M82" s="35" t="str">
        <f t="shared" si="38"/>
        <v xml:space="preserve"> </v>
      </c>
      <c r="N82" s="35" t="str">
        <f t="shared" si="38"/>
        <v xml:space="preserve"> </v>
      </c>
      <c r="O82" s="35" t="str">
        <f t="shared" si="38"/>
        <v xml:space="preserve"> </v>
      </c>
      <c r="P82" s="35" t="str">
        <f t="shared" si="38"/>
        <v xml:space="preserve"> </v>
      </c>
      <c r="Q82" s="35" t="str">
        <f t="shared" si="38"/>
        <v xml:space="preserve"> </v>
      </c>
      <c r="R82" s="35" t="str">
        <f t="shared" si="38"/>
        <v xml:space="preserve"> </v>
      </c>
      <c r="S82" s="35" t="str">
        <f t="shared" si="38"/>
        <v xml:space="preserve"> </v>
      </c>
      <c r="T82" s="35" t="str">
        <f t="shared" si="38"/>
        <v xml:space="preserve"> </v>
      </c>
      <c r="U82" s="35" t="str">
        <f t="shared" si="38"/>
        <v xml:space="preserve"> </v>
      </c>
      <c r="V82" s="35" t="str">
        <f t="shared" si="38"/>
        <v xml:space="preserve"> </v>
      </c>
      <c r="W82" s="35" t="str">
        <f t="shared" si="38"/>
        <v xml:space="preserve"> </v>
      </c>
      <c r="X82" s="35" t="str">
        <f t="shared" si="38"/>
        <v xml:space="preserve"> </v>
      </c>
      <c r="Y82" s="35" t="str">
        <f t="shared" si="38"/>
        <v xml:space="preserve"> </v>
      </c>
      <c r="Z82" s="35" t="str">
        <f t="shared" si="38"/>
        <v xml:space="preserve"> </v>
      </c>
      <c r="AA82" s="35" t="str">
        <f t="shared" si="38"/>
        <v xml:space="preserve"> </v>
      </c>
      <c r="AB82" s="35" t="str">
        <f t="shared" si="38"/>
        <v xml:space="preserve"> </v>
      </c>
      <c r="AC82" s="35" t="str">
        <f t="shared" si="38"/>
        <v xml:space="preserve"> </v>
      </c>
      <c r="AD82" s="35" t="str">
        <f t="shared" si="38"/>
        <v xml:space="preserve"> </v>
      </c>
      <c r="AE82" s="35" t="str">
        <f t="shared" si="38"/>
        <v xml:space="preserve"> </v>
      </c>
      <c r="AF82" s="35" t="str">
        <f t="shared" si="38"/>
        <v xml:space="preserve"> </v>
      </c>
      <c r="AG82" s="35" t="str">
        <f t="shared" si="38"/>
        <v xml:space="preserve"> </v>
      </c>
      <c r="AH82" s="35" t="str">
        <f t="shared" si="38"/>
        <v xml:space="preserve"> </v>
      </c>
      <c r="AI82" s="35" t="str">
        <f t="shared" si="38"/>
        <v xml:space="preserve"> </v>
      </c>
      <c r="AJ82" s="35" t="str">
        <f t="shared" si="38"/>
        <v xml:space="preserve"> </v>
      </c>
      <c r="AK82" s="35" t="str">
        <f t="shared" si="38"/>
        <v xml:space="preserve"> </v>
      </c>
      <c r="AL82" s="35" t="str">
        <f t="shared" si="38"/>
        <v xml:space="preserve"> </v>
      </c>
      <c r="AM82" s="35" t="str">
        <f t="shared" si="38"/>
        <v xml:space="preserve"> </v>
      </c>
      <c r="AN82" s="35" t="str">
        <f t="shared" si="38"/>
        <v xml:space="preserve"> </v>
      </c>
      <c r="AO82" s="35" t="str">
        <f t="shared" si="38"/>
        <v xml:space="preserve"> </v>
      </c>
      <c r="AP82" s="35" t="str">
        <f t="shared" si="38"/>
        <v xml:space="preserve"> </v>
      </c>
      <c r="AQ82" s="35" t="str">
        <f t="shared" si="38"/>
        <v xml:space="preserve"> </v>
      </c>
      <c r="AR82" s="35" t="str">
        <f t="shared" si="38"/>
        <v xml:space="preserve"> </v>
      </c>
      <c r="AS82" s="35" t="str">
        <f t="shared" si="38"/>
        <v xml:space="preserve"> </v>
      </c>
    </row>
    <row r="83" spans="10:45">
      <c r="J83" s="35" t="str">
        <f t="shared" ref="J83:AS83" si="39">J44&amp;" "</f>
        <v xml:space="preserve"> </v>
      </c>
      <c r="K83" s="35" t="str">
        <f t="shared" si="39"/>
        <v xml:space="preserve"> </v>
      </c>
      <c r="L83" s="35" t="str">
        <f t="shared" si="39"/>
        <v xml:space="preserve"> </v>
      </c>
      <c r="M83" s="35" t="str">
        <f t="shared" si="39"/>
        <v xml:space="preserve"> </v>
      </c>
      <c r="N83" s="35" t="str">
        <f t="shared" si="39"/>
        <v xml:space="preserve"> </v>
      </c>
      <c r="O83" s="35" t="str">
        <f t="shared" si="39"/>
        <v xml:space="preserve"> </v>
      </c>
      <c r="P83" s="35" t="str">
        <f t="shared" si="39"/>
        <v xml:space="preserve"> </v>
      </c>
      <c r="Q83" s="35" t="str">
        <f t="shared" si="39"/>
        <v xml:space="preserve"> </v>
      </c>
      <c r="R83" s="35" t="str">
        <f t="shared" si="39"/>
        <v xml:space="preserve"> </v>
      </c>
      <c r="S83" s="35" t="str">
        <f t="shared" si="39"/>
        <v xml:space="preserve"> </v>
      </c>
      <c r="T83" s="35" t="str">
        <f t="shared" si="39"/>
        <v xml:space="preserve"> </v>
      </c>
      <c r="U83" s="35" t="str">
        <f t="shared" si="39"/>
        <v xml:space="preserve"> </v>
      </c>
      <c r="V83" s="35" t="str">
        <f t="shared" si="39"/>
        <v xml:space="preserve"> </v>
      </c>
      <c r="W83" s="35" t="str">
        <f t="shared" si="39"/>
        <v xml:space="preserve"> </v>
      </c>
      <c r="X83" s="35" t="str">
        <f t="shared" si="39"/>
        <v xml:space="preserve"> </v>
      </c>
      <c r="Y83" s="35" t="str">
        <f t="shared" si="39"/>
        <v xml:space="preserve"> </v>
      </c>
      <c r="Z83" s="35" t="str">
        <f t="shared" si="39"/>
        <v xml:space="preserve"> </v>
      </c>
      <c r="AA83" s="35" t="str">
        <f t="shared" si="39"/>
        <v xml:space="preserve"> </v>
      </c>
      <c r="AB83" s="35" t="str">
        <f t="shared" si="39"/>
        <v xml:space="preserve"> </v>
      </c>
      <c r="AC83" s="35" t="str">
        <f t="shared" si="39"/>
        <v xml:space="preserve"> </v>
      </c>
      <c r="AD83" s="35" t="str">
        <f t="shared" si="39"/>
        <v xml:space="preserve"> </v>
      </c>
      <c r="AE83" s="35" t="str">
        <f t="shared" si="39"/>
        <v xml:space="preserve"> </v>
      </c>
      <c r="AF83" s="35" t="str">
        <f t="shared" si="39"/>
        <v xml:space="preserve"> </v>
      </c>
      <c r="AG83" s="35" t="str">
        <f t="shared" si="39"/>
        <v xml:space="preserve"> </v>
      </c>
      <c r="AH83" s="35" t="str">
        <f t="shared" si="39"/>
        <v xml:space="preserve"> </v>
      </c>
      <c r="AI83" s="35" t="str">
        <f t="shared" si="39"/>
        <v xml:space="preserve"> </v>
      </c>
      <c r="AJ83" s="35" t="str">
        <f t="shared" si="39"/>
        <v xml:space="preserve"> </v>
      </c>
      <c r="AK83" s="35" t="str">
        <f t="shared" si="39"/>
        <v xml:space="preserve"> </v>
      </c>
      <c r="AL83" s="35" t="str">
        <f t="shared" si="39"/>
        <v xml:space="preserve"> </v>
      </c>
      <c r="AM83" s="35" t="str">
        <f t="shared" si="39"/>
        <v xml:space="preserve"> </v>
      </c>
      <c r="AN83" s="35" t="str">
        <f t="shared" si="39"/>
        <v xml:space="preserve"> </v>
      </c>
      <c r="AO83" s="35" t="str">
        <f t="shared" si="39"/>
        <v xml:space="preserve"> </v>
      </c>
      <c r="AP83" s="35" t="str">
        <f t="shared" si="39"/>
        <v xml:space="preserve"> </v>
      </c>
      <c r="AQ83" s="35" t="str">
        <f t="shared" si="39"/>
        <v xml:space="preserve"> </v>
      </c>
      <c r="AR83" s="35" t="str">
        <f t="shared" si="39"/>
        <v xml:space="preserve"> </v>
      </c>
      <c r="AS83" s="35" t="str">
        <f t="shared" si="39"/>
        <v xml:space="preserve"> </v>
      </c>
    </row>
    <row r="84" spans="10:45">
      <c r="J84" s="35" t="str">
        <f t="shared" ref="J84:AS84" si="40">J45&amp;" "</f>
        <v xml:space="preserve">1  </v>
      </c>
      <c r="K84" s="35" t="str">
        <f t="shared" si="40"/>
        <v xml:space="preserve">0  </v>
      </c>
      <c r="L84" s="35" t="str">
        <f t="shared" si="40"/>
        <v xml:space="preserve">0  </v>
      </c>
      <c r="M84" s="35" t="str">
        <f t="shared" si="40"/>
        <v xml:space="preserve">0  </v>
      </c>
      <c r="N84" s="35" t="str">
        <f t="shared" si="40"/>
        <v xml:space="preserve">0  </v>
      </c>
      <c r="O84" s="35" t="str">
        <f t="shared" si="40"/>
        <v xml:space="preserve">0  </v>
      </c>
      <c r="P84" s="35" t="str">
        <f t="shared" si="40"/>
        <v xml:space="preserve">0  </v>
      </c>
      <c r="Q84" s="35" t="str">
        <f t="shared" si="40"/>
        <v xml:space="preserve">0  </v>
      </c>
      <c r="R84" s="35" t="str">
        <f t="shared" si="40"/>
        <v xml:space="preserve">0  </v>
      </c>
      <c r="S84" s="35" t="str">
        <f t="shared" si="40"/>
        <v xml:space="preserve">0  </v>
      </c>
      <c r="T84" s="35" t="str">
        <f t="shared" si="40"/>
        <v xml:space="preserve">0  </v>
      </c>
      <c r="U84" s="35" t="str">
        <f t="shared" si="40"/>
        <v xml:space="preserve">0  </v>
      </c>
      <c r="V84" s="35" t="str">
        <f t="shared" si="40"/>
        <v xml:space="preserve">0  </v>
      </c>
      <c r="W84" s="35" t="str">
        <f t="shared" si="40"/>
        <v xml:space="preserve">0  </v>
      </c>
      <c r="X84" s="35" t="str">
        <f t="shared" si="40"/>
        <v xml:space="preserve">0  </v>
      </c>
      <c r="Y84" s="35" t="str">
        <f t="shared" si="40"/>
        <v xml:space="preserve">0  </v>
      </c>
      <c r="Z84" s="35" t="str">
        <f t="shared" si="40"/>
        <v xml:space="preserve">0  </v>
      </c>
      <c r="AA84" s="35" t="str">
        <f t="shared" si="40"/>
        <v xml:space="preserve">0  </v>
      </c>
      <c r="AB84" s="35" t="str">
        <f t="shared" si="40"/>
        <v xml:space="preserve">0  </v>
      </c>
      <c r="AC84" s="35" t="str">
        <f t="shared" si="40"/>
        <v xml:space="preserve">0  </v>
      </c>
      <c r="AD84" s="35" t="str">
        <f t="shared" si="40"/>
        <v xml:space="preserve">0  </v>
      </c>
      <c r="AE84" s="35" t="str">
        <f t="shared" si="40"/>
        <v xml:space="preserve">0  </v>
      </c>
      <c r="AF84" s="35" t="str">
        <f t="shared" si="40"/>
        <v xml:space="preserve">0  </v>
      </c>
      <c r="AG84" s="35" t="str">
        <f t="shared" si="40"/>
        <v xml:space="preserve">0  </v>
      </c>
      <c r="AH84" s="35" t="str">
        <f t="shared" si="40"/>
        <v xml:space="preserve">0  </v>
      </c>
      <c r="AI84" s="35" t="str">
        <f t="shared" si="40"/>
        <v xml:space="preserve">0  </v>
      </c>
      <c r="AJ84" s="35" t="str">
        <f t="shared" si="40"/>
        <v xml:space="preserve">0  </v>
      </c>
      <c r="AK84" s="35" t="str">
        <f t="shared" si="40"/>
        <v xml:space="preserve">0  </v>
      </c>
      <c r="AL84" s="35" t="str">
        <f t="shared" si="40"/>
        <v xml:space="preserve">0  </v>
      </c>
      <c r="AM84" s="35" t="str">
        <f t="shared" si="40"/>
        <v xml:space="preserve">0  </v>
      </c>
      <c r="AN84" s="35" t="str">
        <f t="shared" si="40"/>
        <v xml:space="preserve">0  </v>
      </c>
      <c r="AO84" s="35" t="str">
        <f t="shared" si="40"/>
        <v xml:space="preserve">0  </v>
      </c>
      <c r="AP84" s="35" t="str">
        <f t="shared" si="40"/>
        <v xml:space="preserve">0  </v>
      </c>
      <c r="AQ84" s="35" t="str">
        <f t="shared" si="40"/>
        <v xml:space="preserve">0  </v>
      </c>
      <c r="AR84" s="35" t="str">
        <f t="shared" si="40"/>
        <v xml:space="preserve">0  </v>
      </c>
      <c r="AS84" s="35" t="str">
        <f t="shared" si="40"/>
        <v xml:space="preserve">0  </v>
      </c>
    </row>
  </sheetData>
  <mergeCells count="1">
    <mergeCell ref="B2:AS3"/>
  </mergeCell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FD9F-E9B0-47F9-8EA0-BF495BCD7FDB}">
  <sheetPr codeName="Sheet5">
    <tabColor theme="8" tint="0.39997558519241921"/>
  </sheetPr>
  <dimension ref="A1:CV60"/>
  <sheetViews>
    <sheetView showGridLines="0" topLeftCell="A9" zoomScale="85" zoomScaleNormal="85" workbookViewId="0">
      <selection activeCell="X30" sqref="X30"/>
    </sheetView>
  </sheetViews>
  <sheetFormatPr baseColWidth="10" defaultColWidth="0" defaultRowHeight="15"/>
  <cols>
    <col min="1" max="1" width="1.83203125" customWidth="1"/>
    <col min="2" max="2" width="13" style="35" customWidth="1"/>
    <col min="3" max="3" width="32.5" style="35" customWidth="1"/>
    <col min="4" max="4" width="46.83203125" style="35" customWidth="1"/>
    <col min="5" max="5" width="9.6640625" style="35" customWidth="1"/>
    <col min="6" max="6" width="9" style="35" customWidth="1"/>
    <col min="7" max="7" width="9.1640625" style="35" customWidth="1"/>
    <col min="8" max="8" width="3.33203125" style="35" customWidth="1"/>
    <col min="9" max="9" width="34.1640625" style="35" customWidth="1"/>
    <col min="10" max="64" width="4.83203125" style="35" customWidth="1"/>
    <col min="65" max="65" width="8.83203125" style="35" customWidth="1"/>
    <col min="66" max="93" width="8.83203125" style="35" hidden="1" customWidth="1"/>
    <col min="94" max="100" width="0" style="35" hidden="1" customWidth="1"/>
    <col min="101" max="16384" width="8.83203125" style="35" hidden="1"/>
  </cols>
  <sheetData>
    <row r="1" spans="2:64" customFormat="1"/>
    <row r="2" spans="2:64" customFormat="1" ht="14.75" customHeight="1">
      <c r="B2" s="610" t="s">
        <v>173</v>
      </c>
      <c r="C2" s="610"/>
      <c r="D2" s="610"/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  <c r="R2" s="610"/>
      <c r="S2" s="610"/>
      <c r="T2" s="610"/>
      <c r="U2" s="610"/>
      <c r="V2" s="610"/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0"/>
      <c r="AJ2" s="610"/>
      <c r="AK2" s="610"/>
      <c r="AL2" s="610"/>
      <c r="AM2" s="610"/>
      <c r="AN2" s="610"/>
      <c r="AO2" s="610"/>
      <c r="AP2" s="610"/>
      <c r="AQ2" s="610"/>
      <c r="AR2" s="610"/>
      <c r="AS2" s="610"/>
      <c r="AT2" s="610"/>
      <c r="AU2" s="610"/>
      <c r="AV2" s="610"/>
      <c r="AW2" s="610"/>
      <c r="AX2" s="610"/>
      <c r="AY2" s="610"/>
      <c r="AZ2" s="610"/>
      <c r="BA2" s="610"/>
      <c r="BB2" s="610"/>
      <c r="BC2" s="610"/>
      <c r="BD2" s="610"/>
      <c r="BE2" s="610"/>
      <c r="BF2" s="610"/>
      <c r="BG2" s="610"/>
      <c r="BH2" s="610"/>
      <c r="BI2" s="610"/>
      <c r="BJ2" s="610"/>
      <c r="BK2" s="610"/>
      <c r="BL2" s="610"/>
    </row>
    <row r="3" spans="2:64" customFormat="1" ht="14.75" customHeight="1"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  <c r="R3" s="610"/>
      <c r="S3" s="610"/>
      <c r="T3" s="610"/>
      <c r="U3" s="610"/>
      <c r="V3" s="610"/>
      <c r="W3" s="610"/>
      <c r="X3" s="610"/>
      <c r="Y3" s="610"/>
      <c r="Z3" s="610"/>
      <c r="AA3" s="610"/>
      <c r="AB3" s="610"/>
      <c r="AC3" s="610"/>
      <c r="AD3" s="610"/>
      <c r="AE3" s="610"/>
      <c r="AF3" s="610"/>
      <c r="AG3" s="610"/>
      <c r="AH3" s="610"/>
      <c r="AI3" s="610"/>
      <c r="AJ3" s="610"/>
      <c r="AK3" s="610"/>
      <c r="AL3" s="610"/>
      <c r="AM3" s="610"/>
      <c r="AN3" s="610"/>
      <c r="AO3" s="610"/>
      <c r="AP3" s="610"/>
      <c r="AQ3" s="610"/>
      <c r="AR3" s="610"/>
      <c r="AS3" s="610"/>
      <c r="AT3" s="610"/>
      <c r="AU3" s="610"/>
      <c r="AV3" s="610"/>
      <c r="AW3" s="610"/>
      <c r="AX3" s="610"/>
      <c r="AY3" s="610"/>
      <c r="AZ3" s="610"/>
      <c r="BA3" s="610"/>
      <c r="BB3" s="610"/>
      <c r="BC3" s="610"/>
      <c r="BD3" s="610"/>
      <c r="BE3" s="610"/>
      <c r="BF3" s="610"/>
      <c r="BG3" s="610"/>
      <c r="BH3" s="610"/>
      <c r="BI3" s="610"/>
      <c r="BJ3" s="610"/>
      <c r="BK3" s="610"/>
      <c r="BL3" s="610"/>
    </row>
    <row r="4" spans="2:64" customFormat="1" ht="12.5" customHeight="1">
      <c r="E4" s="106" t="s">
        <v>141</v>
      </c>
      <c r="F4" s="106" t="s">
        <v>142</v>
      </c>
    </row>
    <row r="5" spans="2:64" customFormat="1" ht="68" customHeight="1">
      <c r="B5" s="39" t="s">
        <v>54</v>
      </c>
      <c r="C5" s="39" t="s">
        <v>143</v>
      </c>
      <c r="D5" s="39" t="s">
        <v>144</v>
      </c>
      <c r="E5" s="40" t="s">
        <v>145</v>
      </c>
      <c r="F5" s="40" t="s">
        <v>33</v>
      </c>
      <c r="G5" s="40" t="s">
        <v>34</v>
      </c>
      <c r="H5" s="36"/>
      <c r="I5" s="34" t="s">
        <v>146</v>
      </c>
      <c r="J5" s="73" t="s">
        <v>106</v>
      </c>
      <c r="K5" s="73" t="s">
        <v>174</v>
      </c>
      <c r="L5" s="73" t="s">
        <v>175</v>
      </c>
      <c r="M5" s="73" t="s">
        <v>176</v>
      </c>
      <c r="N5" s="73" t="s">
        <v>177</v>
      </c>
      <c r="O5" s="73" t="s">
        <v>178</v>
      </c>
      <c r="P5" s="73" t="s">
        <v>179</v>
      </c>
      <c r="Q5" s="73" t="s">
        <v>180</v>
      </c>
      <c r="R5" s="73" t="s">
        <v>181</v>
      </c>
      <c r="S5" s="73" t="s">
        <v>127</v>
      </c>
      <c r="T5" s="73" t="s">
        <v>182</v>
      </c>
      <c r="U5" s="73" t="s">
        <v>183</v>
      </c>
      <c r="V5" s="73" t="s">
        <v>184</v>
      </c>
      <c r="W5" s="73" t="s">
        <v>185</v>
      </c>
      <c r="X5" s="73" t="s">
        <v>186</v>
      </c>
      <c r="Y5" s="73" t="s">
        <v>187</v>
      </c>
      <c r="Z5" s="73" t="s">
        <v>188</v>
      </c>
      <c r="AA5" s="73" t="s">
        <v>189</v>
      </c>
      <c r="AB5" s="73" t="s">
        <v>147</v>
      </c>
      <c r="AC5" s="73" t="s">
        <v>190</v>
      </c>
      <c r="AD5" s="73" t="s">
        <v>191</v>
      </c>
      <c r="AE5" s="73" t="s">
        <v>123</v>
      </c>
      <c r="AF5" s="73" t="s">
        <v>192</v>
      </c>
      <c r="AG5" s="73" t="s">
        <v>111</v>
      </c>
      <c r="AH5" s="73" t="s">
        <v>116</v>
      </c>
      <c r="AI5" s="73" t="s">
        <v>119</v>
      </c>
      <c r="AJ5" s="73" t="s">
        <v>193</v>
      </c>
      <c r="AK5" s="73" t="s">
        <v>194</v>
      </c>
      <c r="AL5" s="73" t="s">
        <v>195</v>
      </c>
      <c r="AM5" s="73" t="s">
        <v>196</v>
      </c>
      <c r="AN5" s="73" t="s">
        <v>197</v>
      </c>
      <c r="AO5" s="73" t="s">
        <v>198</v>
      </c>
      <c r="AP5" s="73" t="s">
        <v>199</v>
      </c>
      <c r="AQ5" s="73" t="s">
        <v>200</v>
      </c>
      <c r="AR5" s="73" t="s">
        <v>201</v>
      </c>
      <c r="AS5" s="73" t="s">
        <v>202</v>
      </c>
      <c r="AT5" s="70" t="s">
        <v>203</v>
      </c>
      <c r="AU5" s="70" t="s">
        <v>204</v>
      </c>
      <c r="AV5" s="70" t="s">
        <v>205</v>
      </c>
      <c r="AW5" s="70" t="s">
        <v>206</v>
      </c>
      <c r="AX5" s="70" t="s">
        <v>138</v>
      </c>
      <c r="AY5" s="70" t="s">
        <v>23</v>
      </c>
      <c r="AZ5" s="70" t="s">
        <v>22</v>
      </c>
      <c r="BA5" s="70" t="s">
        <v>24</v>
      </c>
      <c r="BB5" s="70" t="s">
        <v>207</v>
      </c>
      <c r="BC5" s="70" t="s">
        <v>208</v>
      </c>
      <c r="BD5" s="70" t="s">
        <v>209</v>
      </c>
      <c r="BE5" s="70" t="s">
        <v>210</v>
      </c>
      <c r="BF5" s="70" t="s">
        <v>211</v>
      </c>
      <c r="BG5" s="70" t="s">
        <v>212</v>
      </c>
      <c r="BH5" s="70" t="s">
        <v>213</v>
      </c>
      <c r="BI5" s="70" t="s">
        <v>214</v>
      </c>
      <c r="BJ5" s="70" t="s">
        <v>215</v>
      </c>
      <c r="BK5" s="70" t="s">
        <v>216</v>
      </c>
      <c r="BL5" s="70" t="s">
        <v>217</v>
      </c>
    </row>
    <row r="6" spans="2:64">
      <c r="C6" s="35" t="s">
        <v>106</v>
      </c>
      <c r="E6" s="38"/>
      <c r="F6" s="38">
        <v>5.8299999999999998E-2</v>
      </c>
      <c r="G6" s="38">
        <v>0.15390000000000001</v>
      </c>
      <c r="I6" s="69" t="s">
        <v>106</v>
      </c>
      <c r="J6" s="37">
        <v>1</v>
      </c>
      <c r="K6" s="37">
        <v>0.63</v>
      </c>
      <c r="L6" s="37">
        <v>0.51</v>
      </c>
      <c r="M6" s="37">
        <v>0.99</v>
      </c>
      <c r="N6" s="37">
        <v>0.99</v>
      </c>
      <c r="O6" s="37">
        <v>0.31</v>
      </c>
      <c r="P6" s="37">
        <v>-0.74</v>
      </c>
      <c r="Q6" s="37">
        <v>-0.03</v>
      </c>
      <c r="R6" s="37">
        <v>0.19</v>
      </c>
      <c r="S6" s="37">
        <v>0.35</v>
      </c>
      <c r="T6" s="37">
        <v>0.19</v>
      </c>
      <c r="U6" s="37">
        <v>0.64</v>
      </c>
      <c r="V6" s="37">
        <v>0.64</v>
      </c>
      <c r="W6" s="37">
        <v>0.64</v>
      </c>
      <c r="X6" s="37">
        <v>0.62</v>
      </c>
      <c r="Y6" s="37">
        <v>0.63</v>
      </c>
      <c r="Z6" s="37">
        <v>0.66</v>
      </c>
      <c r="AA6" s="37">
        <v>0.56000000000000005</v>
      </c>
      <c r="AB6" s="37">
        <v>0.88</v>
      </c>
      <c r="AC6" s="37">
        <v>0.24</v>
      </c>
      <c r="AD6" s="68">
        <v>0.7</v>
      </c>
      <c r="AE6" s="68">
        <v>0.61</v>
      </c>
      <c r="AF6" s="68">
        <v>0.18</v>
      </c>
      <c r="AG6" s="68">
        <v>0.65</v>
      </c>
      <c r="AH6" s="68">
        <v>0.65</v>
      </c>
      <c r="AI6" s="68">
        <v>0.15</v>
      </c>
      <c r="AJ6" s="68">
        <v>0.21</v>
      </c>
      <c r="AK6" s="68">
        <v>-0.08</v>
      </c>
      <c r="AL6" s="68">
        <v>-0.88</v>
      </c>
      <c r="AM6" s="68">
        <v>0.99</v>
      </c>
      <c r="AN6" s="68">
        <v>0.96</v>
      </c>
      <c r="AO6" s="68">
        <v>0.95</v>
      </c>
      <c r="AP6" s="68">
        <v>0.88</v>
      </c>
      <c r="AQ6" s="68">
        <v>0.16</v>
      </c>
      <c r="AR6" s="68">
        <v>0.26</v>
      </c>
      <c r="AS6" s="68">
        <v>0.41</v>
      </c>
      <c r="AT6" s="68">
        <v>-0.01</v>
      </c>
      <c r="AU6" s="68">
        <v>0.97</v>
      </c>
      <c r="AV6" s="68">
        <v>0.92</v>
      </c>
      <c r="AW6" s="68">
        <v>0.93</v>
      </c>
      <c r="AX6" s="68">
        <v>0.65</v>
      </c>
      <c r="AY6" s="68">
        <v>0.16</v>
      </c>
      <c r="AZ6" s="68">
        <v>0.26</v>
      </c>
      <c r="BA6" s="68">
        <v>0.04</v>
      </c>
      <c r="BB6" s="68">
        <v>0.99</v>
      </c>
      <c r="BC6" s="68">
        <v>0.62</v>
      </c>
      <c r="BD6" s="68">
        <v>0.13</v>
      </c>
      <c r="BE6" s="68">
        <v>0.1</v>
      </c>
      <c r="BF6" s="68">
        <v>0.88</v>
      </c>
      <c r="BG6" s="68">
        <v>0.86</v>
      </c>
      <c r="BH6" s="68">
        <v>0.85</v>
      </c>
      <c r="BI6" s="68">
        <v>0.13</v>
      </c>
      <c r="BJ6" s="68">
        <v>0.61</v>
      </c>
      <c r="BK6" s="68">
        <v>0.99</v>
      </c>
      <c r="BL6" s="68">
        <v>0.88</v>
      </c>
    </row>
    <row r="7" spans="2:64">
      <c r="C7" s="35" t="s">
        <v>174</v>
      </c>
      <c r="E7" s="38"/>
      <c r="F7" s="38">
        <v>4.41E-2</v>
      </c>
      <c r="G7" s="38">
        <v>5.4800000000000001E-2</v>
      </c>
      <c r="I7" s="69" t="s">
        <v>174</v>
      </c>
      <c r="J7" s="37">
        <v>0.63</v>
      </c>
      <c r="K7" s="37">
        <v>1</v>
      </c>
      <c r="L7" s="37">
        <v>0.67</v>
      </c>
      <c r="M7" s="37">
        <v>0.64</v>
      </c>
      <c r="N7" s="37">
        <v>0.64</v>
      </c>
      <c r="O7" s="37">
        <v>0.39</v>
      </c>
      <c r="P7" s="37">
        <v>-0.48</v>
      </c>
      <c r="Q7" s="37">
        <v>0.26</v>
      </c>
      <c r="R7" s="37">
        <v>0.23</v>
      </c>
      <c r="S7" s="37">
        <v>0.35</v>
      </c>
      <c r="T7" s="37">
        <v>0.19</v>
      </c>
      <c r="U7" s="37">
        <v>0.75</v>
      </c>
      <c r="V7" s="37">
        <v>0.56999999999999995</v>
      </c>
      <c r="W7" s="37">
        <v>0.56000000000000005</v>
      </c>
      <c r="X7" s="37">
        <v>0.54</v>
      </c>
      <c r="Y7" s="37">
        <v>0.57999999999999996</v>
      </c>
      <c r="Z7" s="37">
        <v>0.59</v>
      </c>
      <c r="AA7" s="37">
        <v>0.53</v>
      </c>
      <c r="AB7" s="37">
        <v>0.65</v>
      </c>
      <c r="AC7" s="37">
        <v>0.64</v>
      </c>
      <c r="AD7" s="68">
        <v>0.88</v>
      </c>
      <c r="AE7" s="68">
        <v>0.47</v>
      </c>
      <c r="AF7" s="68">
        <v>0.27</v>
      </c>
      <c r="AG7" s="68">
        <v>0.56999999999999995</v>
      </c>
      <c r="AH7" s="68">
        <v>0.51</v>
      </c>
      <c r="AI7" s="68">
        <v>0.26</v>
      </c>
      <c r="AJ7" s="68">
        <v>0.21</v>
      </c>
      <c r="AK7" s="68">
        <v>0.1</v>
      </c>
      <c r="AL7" s="68">
        <v>-0.65</v>
      </c>
      <c r="AM7" s="68">
        <v>0.63</v>
      </c>
      <c r="AN7" s="68">
        <v>0.61</v>
      </c>
      <c r="AO7" s="68">
        <v>0.59</v>
      </c>
      <c r="AP7" s="68">
        <v>0.66</v>
      </c>
      <c r="AQ7" s="68">
        <v>0.2</v>
      </c>
      <c r="AR7" s="68">
        <v>0.24</v>
      </c>
      <c r="AS7" s="68">
        <v>0.8</v>
      </c>
      <c r="AT7" s="68">
        <v>0.25</v>
      </c>
      <c r="AU7" s="68">
        <v>0.64</v>
      </c>
      <c r="AV7" s="68">
        <v>0.62</v>
      </c>
      <c r="AW7" s="68">
        <v>0.61</v>
      </c>
      <c r="AX7" s="68">
        <v>0.89</v>
      </c>
      <c r="AY7" s="68">
        <v>0.17</v>
      </c>
      <c r="AZ7" s="68">
        <v>0.21</v>
      </c>
      <c r="BA7" s="68">
        <v>0.05</v>
      </c>
      <c r="BB7" s="68">
        <v>0.64</v>
      </c>
      <c r="BC7" s="68">
        <v>0.41</v>
      </c>
      <c r="BD7" s="68">
        <v>0.28999999999999998</v>
      </c>
      <c r="BE7" s="68">
        <v>0.11</v>
      </c>
      <c r="BF7" s="68">
        <v>0.59</v>
      </c>
      <c r="BG7" s="68">
        <v>0.57999999999999996</v>
      </c>
      <c r="BH7" s="68">
        <v>0.56000000000000005</v>
      </c>
      <c r="BI7" s="68">
        <v>0.28999999999999998</v>
      </c>
      <c r="BJ7" s="68">
        <v>0.47</v>
      </c>
      <c r="BK7" s="68">
        <v>0.64</v>
      </c>
      <c r="BL7" s="68">
        <v>0.65</v>
      </c>
    </row>
    <row r="8" spans="2:64">
      <c r="C8" s="35" t="s">
        <v>175</v>
      </c>
      <c r="E8" s="38"/>
      <c r="F8" s="38">
        <v>3.9199999999999999E-2</v>
      </c>
      <c r="G8" s="38">
        <v>3.09E-2</v>
      </c>
      <c r="I8" s="69" t="s">
        <v>175</v>
      </c>
      <c r="J8" s="37">
        <v>0.51</v>
      </c>
      <c r="K8" s="37">
        <v>0.67</v>
      </c>
      <c r="L8" s="37">
        <v>1</v>
      </c>
      <c r="M8" s="37">
        <v>0.56999999999999995</v>
      </c>
      <c r="N8" s="37">
        <v>0.56999999999999995</v>
      </c>
      <c r="O8" s="37">
        <v>0.54</v>
      </c>
      <c r="P8" s="37">
        <v>-0.38</v>
      </c>
      <c r="Q8" s="37">
        <v>0.14000000000000001</v>
      </c>
      <c r="R8" s="37">
        <v>0.25</v>
      </c>
      <c r="S8" s="37">
        <v>0.62</v>
      </c>
      <c r="T8" s="37">
        <v>0.14000000000000001</v>
      </c>
      <c r="U8" s="37">
        <v>0.59</v>
      </c>
      <c r="V8" s="37">
        <v>0.51</v>
      </c>
      <c r="W8" s="37">
        <v>0.48</v>
      </c>
      <c r="X8" s="37">
        <v>0.52</v>
      </c>
      <c r="Y8" s="37">
        <v>0.53</v>
      </c>
      <c r="Z8" s="37">
        <v>0.5</v>
      </c>
      <c r="AA8" s="37">
        <v>0.53</v>
      </c>
      <c r="AB8" s="37">
        <v>0.56000000000000005</v>
      </c>
      <c r="AC8" s="37">
        <v>0.27</v>
      </c>
      <c r="AD8" s="68">
        <v>0.56000000000000005</v>
      </c>
      <c r="AE8" s="68">
        <v>0.73</v>
      </c>
      <c r="AF8" s="68">
        <v>0.55000000000000004</v>
      </c>
      <c r="AG8" s="68">
        <v>0.53</v>
      </c>
      <c r="AH8" s="68">
        <v>0.52</v>
      </c>
      <c r="AI8" s="68">
        <v>0.54</v>
      </c>
      <c r="AJ8" s="68">
        <v>0.49</v>
      </c>
      <c r="AK8" s="68">
        <v>0.24</v>
      </c>
      <c r="AL8" s="68">
        <v>-0.57999999999999996</v>
      </c>
      <c r="AM8" s="68">
        <v>0.51</v>
      </c>
      <c r="AN8" s="68">
        <v>0.43</v>
      </c>
      <c r="AO8" s="68">
        <v>0.56000000000000005</v>
      </c>
      <c r="AP8" s="68">
        <v>0.57999999999999996</v>
      </c>
      <c r="AQ8" s="68">
        <v>0.49</v>
      </c>
      <c r="AR8" s="68">
        <v>0.5</v>
      </c>
      <c r="AS8" s="68">
        <v>0.68</v>
      </c>
      <c r="AT8" s="68">
        <v>7.0000000000000007E-2</v>
      </c>
      <c r="AU8" s="68">
        <v>0.54</v>
      </c>
      <c r="AV8" s="68">
        <v>0.44</v>
      </c>
      <c r="AW8" s="68">
        <v>0.59</v>
      </c>
      <c r="AX8" s="68">
        <v>0.64</v>
      </c>
      <c r="AY8" s="68">
        <v>0.19</v>
      </c>
      <c r="AZ8" s="68">
        <v>0.17</v>
      </c>
      <c r="BA8" s="68">
        <v>0</v>
      </c>
      <c r="BB8" s="68">
        <v>0.56999999999999995</v>
      </c>
      <c r="BC8" s="68">
        <v>0.55000000000000004</v>
      </c>
      <c r="BD8" s="68">
        <v>0.51</v>
      </c>
      <c r="BE8" s="68">
        <v>0.22</v>
      </c>
      <c r="BF8" s="68">
        <v>0.46</v>
      </c>
      <c r="BG8" s="68">
        <v>0.41</v>
      </c>
      <c r="BH8" s="68">
        <v>0.51</v>
      </c>
      <c r="BI8" s="68">
        <v>0.51</v>
      </c>
      <c r="BJ8" s="68">
        <v>0.73</v>
      </c>
      <c r="BK8" s="68">
        <v>0.56999999999999995</v>
      </c>
      <c r="BL8" s="68">
        <v>0.56000000000000005</v>
      </c>
    </row>
    <row r="9" spans="2:64">
      <c r="C9" s="35" t="s">
        <v>176</v>
      </c>
      <c r="E9" s="38"/>
      <c r="F9" s="38">
        <v>4.3299999999999998E-2</v>
      </c>
      <c r="G9" s="38">
        <v>9.4200000000000006E-2</v>
      </c>
      <c r="I9" s="69" t="s">
        <v>176</v>
      </c>
      <c r="J9" s="37">
        <v>0.99</v>
      </c>
      <c r="K9" s="37">
        <v>0.64</v>
      </c>
      <c r="L9" s="37">
        <v>0.56999999999999995</v>
      </c>
      <c r="M9" s="37">
        <v>1</v>
      </c>
      <c r="N9" s="37">
        <v>1</v>
      </c>
      <c r="O9" s="37">
        <v>0.3</v>
      </c>
      <c r="P9" s="37">
        <v>-0.71</v>
      </c>
      <c r="Q9" s="37">
        <v>0.02</v>
      </c>
      <c r="R9" s="37">
        <v>0.2</v>
      </c>
      <c r="S9" s="37">
        <v>0.39</v>
      </c>
      <c r="T9" s="37">
        <v>0.19</v>
      </c>
      <c r="U9" s="37">
        <v>0.63</v>
      </c>
      <c r="V9" s="37">
        <v>0.64</v>
      </c>
      <c r="W9" s="37">
        <v>0.64</v>
      </c>
      <c r="X9" s="37">
        <v>0.62</v>
      </c>
      <c r="Y9" s="37">
        <v>0.62</v>
      </c>
      <c r="Z9" s="37">
        <v>0.66</v>
      </c>
      <c r="AA9" s="37">
        <v>0.56000000000000005</v>
      </c>
      <c r="AB9" s="37">
        <v>0.88</v>
      </c>
      <c r="AC9" s="37">
        <v>0.26</v>
      </c>
      <c r="AD9" s="68">
        <v>0.7</v>
      </c>
      <c r="AE9" s="68">
        <v>0.63</v>
      </c>
      <c r="AF9" s="68">
        <v>0.28000000000000003</v>
      </c>
      <c r="AG9" s="68">
        <v>0.65</v>
      </c>
      <c r="AH9" s="68">
        <v>0.63</v>
      </c>
      <c r="AI9" s="68">
        <v>0.28999999999999998</v>
      </c>
      <c r="AJ9" s="68">
        <v>0.28999999999999998</v>
      </c>
      <c r="AK9" s="68">
        <v>0</v>
      </c>
      <c r="AL9" s="68">
        <v>-0.88</v>
      </c>
      <c r="AM9" s="68">
        <v>0.99</v>
      </c>
      <c r="AN9" s="68">
        <v>0.96</v>
      </c>
      <c r="AO9" s="68">
        <v>0.95</v>
      </c>
      <c r="AP9" s="68">
        <v>0.87</v>
      </c>
      <c r="AQ9" s="68">
        <v>0.28000000000000003</v>
      </c>
      <c r="AR9" s="68">
        <v>0.34</v>
      </c>
      <c r="AS9" s="68">
        <v>0.43</v>
      </c>
      <c r="AT9" s="68">
        <v>0</v>
      </c>
      <c r="AU9" s="68">
        <v>0.95</v>
      </c>
      <c r="AV9" s="68">
        <v>0.9</v>
      </c>
      <c r="AW9" s="68">
        <v>0.92</v>
      </c>
      <c r="AX9" s="68">
        <v>0.64</v>
      </c>
      <c r="AY9" s="68">
        <v>0.16</v>
      </c>
      <c r="AZ9" s="68">
        <v>0.25</v>
      </c>
      <c r="BA9" s="68">
        <v>0.04</v>
      </c>
      <c r="BB9" s="68">
        <v>1</v>
      </c>
      <c r="BC9" s="68">
        <v>0.61</v>
      </c>
      <c r="BD9" s="68">
        <v>0.25</v>
      </c>
      <c r="BE9" s="68">
        <v>0.14000000000000001</v>
      </c>
      <c r="BF9" s="68">
        <v>0.83</v>
      </c>
      <c r="BG9" s="68">
        <v>0.82</v>
      </c>
      <c r="BH9" s="68">
        <v>0.81</v>
      </c>
      <c r="BI9" s="68">
        <v>0.25</v>
      </c>
      <c r="BJ9" s="68">
        <v>0.63</v>
      </c>
      <c r="BK9" s="68">
        <v>1</v>
      </c>
      <c r="BL9" s="68">
        <v>0.88</v>
      </c>
    </row>
    <row r="10" spans="2:64">
      <c r="C10" s="35" t="s">
        <v>176</v>
      </c>
      <c r="E10" s="38"/>
      <c r="F10" s="38">
        <v>4.3299999999999998E-2</v>
      </c>
      <c r="G10" s="38">
        <v>9.4200000000000006E-2</v>
      </c>
      <c r="I10" s="69" t="s">
        <v>176</v>
      </c>
      <c r="J10" s="37">
        <v>0.99</v>
      </c>
      <c r="K10" s="37">
        <v>0.64</v>
      </c>
      <c r="L10" s="37">
        <v>0.56999999999999995</v>
      </c>
      <c r="M10" s="37">
        <v>1</v>
      </c>
      <c r="N10" s="37">
        <v>1</v>
      </c>
      <c r="O10" s="37">
        <v>0.3</v>
      </c>
      <c r="P10" s="37">
        <v>-0.71</v>
      </c>
      <c r="Q10" s="37">
        <v>0.02</v>
      </c>
      <c r="R10" s="37">
        <v>0.2</v>
      </c>
      <c r="S10" s="37">
        <v>0.39</v>
      </c>
      <c r="T10" s="37">
        <v>0.19</v>
      </c>
      <c r="U10" s="37">
        <v>0.63</v>
      </c>
      <c r="V10" s="37">
        <v>0.64</v>
      </c>
      <c r="W10" s="37">
        <v>0.64</v>
      </c>
      <c r="X10" s="37">
        <v>0.62</v>
      </c>
      <c r="Y10" s="37">
        <v>0.62</v>
      </c>
      <c r="Z10" s="37">
        <v>0.66</v>
      </c>
      <c r="AA10" s="37">
        <v>0.56000000000000005</v>
      </c>
      <c r="AB10" s="37">
        <v>0.88</v>
      </c>
      <c r="AC10" s="37">
        <v>0.26</v>
      </c>
      <c r="AD10" s="68">
        <v>0.7</v>
      </c>
      <c r="AE10" s="68">
        <v>0.63</v>
      </c>
      <c r="AF10" s="68">
        <v>0.28000000000000003</v>
      </c>
      <c r="AG10" s="68">
        <v>0.65</v>
      </c>
      <c r="AH10" s="68">
        <v>0.63</v>
      </c>
      <c r="AI10" s="68">
        <v>0.28999999999999998</v>
      </c>
      <c r="AJ10" s="68">
        <v>0.28999999999999998</v>
      </c>
      <c r="AK10" s="68">
        <v>0</v>
      </c>
      <c r="AL10" s="68">
        <v>-0.88</v>
      </c>
      <c r="AM10" s="68">
        <v>0.99</v>
      </c>
      <c r="AN10" s="68">
        <v>0.96</v>
      </c>
      <c r="AO10" s="68">
        <v>0.95</v>
      </c>
      <c r="AP10" s="68">
        <v>0.87</v>
      </c>
      <c r="AQ10" s="68">
        <v>0.28000000000000003</v>
      </c>
      <c r="AR10" s="68">
        <v>0.34</v>
      </c>
      <c r="AS10" s="68">
        <v>0.43</v>
      </c>
      <c r="AT10" s="68">
        <v>0</v>
      </c>
      <c r="AU10" s="68">
        <v>0.95</v>
      </c>
      <c r="AV10" s="68">
        <v>0.9</v>
      </c>
      <c r="AW10" s="68">
        <v>0.92</v>
      </c>
      <c r="AX10" s="68">
        <v>0.64</v>
      </c>
      <c r="AY10" s="68">
        <v>0.16</v>
      </c>
      <c r="AZ10" s="68">
        <v>0.25</v>
      </c>
      <c r="BA10" s="68">
        <v>0.04</v>
      </c>
      <c r="BB10" s="68">
        <v>1</v>
      </c>
      <c r="BC10" s="68">
        <v>0.61</v>
      </c>
      <c r="BD10" s="68">
        <v>0.25</v>
      </c>
      <c r="BE10" s="68">
        <v>0.14000000000000001</v>
      </c>
      <c r="BF10" s="68">
        <v>0.83</v>
      </c>
      <c r="BG10" s="68">
        <v>0.82</v>
      </c>
      <c r="BH10" s="68">
        <v>0.81</v>
      </c>
      <c r="BI10" s="68">
        <v>0.25</v>
      </c>
      <c r="BJ10" s="68">
        <v>0.63</v>
      </c>
      <c r="BK10" s="68">
        <v>1</v>
      </c>
      <c r="BL10" s="68">
        <v>0.88</v>
      </c>
    </row>
    <row r="11" spans="2:64">
      <c r="C11" s="35" t="s">
        <v>178</v>
      </c>
      <c r="E11" s="38"/>
      <c r="F11" s="38">
        <v>2.9600000000000001E-2</v>
      </c>
      <c r="G11" s="38">
        <v>6.2300000000000001E-2</v>
      </c>
      <c r="I11" s="69" t="s">
        <v>178</v>
      </c>
      <c r="J11" s="37">
        <v>0.31</v>
      </c>
      <c r="K11" s="37">
        <v>0.39</v>
      </c>
      <c r="L11" s="37">
        <v>0.54</v>
      </c>
      <c r="M11" s="37">
        <v>0.3</v>
      </c>
      <c r="N11" s="37">
        <v>0.3</v>
      </c>
      <c r="O11" s="37">
        <v>1</v>
      </c>
      <c r="P11" s="37">
        <v>-0.22</v>
      </c>
      <c r="Q11" s="37">
        <v>-0.03</v>
      </c>
      <c r="R11" s="37">
        <v>0.14000000000000001</v>
      </c>
      <c r="S11" s="37">
        <v>0.13</v>
      </c>
      <c r="T11" s="37">
        <v>7.0000000000000007E-2</v>
      </c>
      <c r="U11" s="37">
        <v>0.28000000000000003</v>
      </c>
      <c r="V11" s="37">
        <v>0.27</v>
      </c>
      <c r="W11" s="37">
        <v>0.25</v>
      </c>
      <c r="X11" s="37">
        <v>0.27</v>
      </c>
      <c r="Y11" s="37">
        <v>0.27</v>
      </c>
      <c r="Z11" s="37">
        <v>0.26</v>
      </c>
      <c r="AA11" s="37">
        <v>0.26</v>
      </c>
      <c r="AB11" s="37">
        <v>0.31</v>
      </c>
      <c r="AC11" s="37">
        <v>-0.13</v>
      </c>
      <c r="AD11" s="68">
        <v>0.42</v>
      </c>
      <c r="AE11" s="68">
        <v>0.49</v>
      </c>
      <c r="AF11" s="68">
        <v>0.16</v>
      </c>
      <c r="AG11" s="68">
        <v>0.27</v>
      </c>
      <c r="AH11" s="68">
        <v>0.27</v>
      </c>
      <c r="AI11" s="68">
        <v>0.09</v>
      </c>
      <c r="AJ11" s="68">
        <v>0.16</v>
      </c>
      <c r="AK11" s="68">
        <v>-0.01</v>
      </c>
      <c r="AL11" s="68">
        <v>-0.31</v>
      </c>
      <c r="AM11" s="68">
        <v>0.3</v>
      </c>
      <c r="AN11" s="68">
        <v>0.27</v>
      </c>
      <c r="AO11" s="68">
        <v>0.31</v>
      </c>
      <c r="AP11" s="68">
        <v>0.31</v>
      </c>
      <c r="AQ11" s="68">
        <v>0.1</v>
      </c>
      <c r="AR11" s="68">
        <v>0.16</v>
      </c>
      <c r="AS11" s="68">
        <v>0.54</v>
      </c>
      <c r="AT11" s="68">
        <v>-0.01</v>
      </c>
      <c r="AU11" s="68">
        <v>0.32</v>
      </c>
      <c r="AV11" s="68">
        <v>0.27</v>
      </c>
      <c r="AW11" s="68">
        <v>0.33</v>
      </c>
      <c r="AX11" s="68">
        <v>0.35</v>
      </c>
      <c r="AY11" s="68">
        <v>0.24</v>
      </c>
      <c r="AZ11" s="68">
        <v>0.09</v>
      </c>
      <c r="BA11" s="68">
        <v>-0.01</v>
      </c>
      <c r="BB11" s="68">
        <v>0.3</v>
      </c>
      <c r="BC11" s="68">
        <v>0.35</v>
      </c>
      <c r="BD11" s="68">
        <v>7.0000000000000007E-2</v>
      </c>
      <c r="BE11" s="68">
        <v>0.04</v>
      </c>
      <c r="BF11" s="68">
        <v>0.3</v>
      </c>
      <c r="BG11" s="68">
        <v>0.28000000000000003</v>
      </c>
      <c r="BH11" s="68">
        <v>0.32</v>
      </c>
      <c r="BI11" s="68">
        <v>7.0000000000000007E-2</v>
      </c>
      <c r="BJ11" s="68">
        <v>0.49</v>
      </c>
      <c r="BK11" s="68">
        <v>0.3</v>
      </c>
      <c r="BL11" s="68">
        <v>0.31</v>
      </c>
    </row>
    <row r="12" spans="2:64">
      <c r="C12" s="35" t="s">
        <v>179</v>
      </c>
      <c r="E12" s="38"/>
      <c r="F12" s="38">
        <v>-7.7499999999999999E-2</v>
      </c>
      <c r="G12" s="38">
        <v>0.1787</v>
      </c>
      <c r="I12" s="69" t="s">
        <v>179</v>
      </c>
      <c r="J12" s="37">
        <v>-0.74</v>
      </c>
      <c r="K12" s="37">
        <v>-0.48</v>
      </c>
      <c r="L12" s="37">
        <v>-0.38</v>
      </c>
      <c r="M12" s="37">
        <v>-0.71</v>
      </c>
      <c r="N12" s="37">
        <v>-0.71</v>
      </c>
      <c r="O12" s="37">
        <v>-0.22</v>
      </c>
      <c r="P12" s="37">
        <v>1</v>
      </c>
      <c r="Q12" s="37">
        <v>0.04</v>
      </c>
      <c r="R12" s="37">
        <v>-0.14000000000000001</v>
      </c>
      <c r="S12" s="37">
        <v>-0.25</v>
      </c>
      <c r="T12" s="37">
        <v>-0.15</v>
      </c>
      <c r="U12" s="37">
        <v>-0.51</v>
      </c>
      <c r="V12" s="37">
        <v>-0.42</v>
      </c>
      <c r="W12" s="37">
        <v>-0.43</v>
      </c>
      <c r="X12" s="37">
        <v>-0.39</v>
      </c>
      <c r="Y12" s="37">
        <v>-0.47</v>
      </c>
      <c r="Z12" s="37">
        <v>-0.51</v>
      </c>
      <c r="AA12" s="37">
        <v>-0.41</v>
      </c>
      <c r="AB12" s="37">
        <v>-0.6</v>
      </c>
      <c r="AC12" s="37">
        <v>-0.19</v>
      </c>
      <c r="AD12" s="68">
        <v>-0.55000000000000004</v>
      </c>
      <c r="AE12" s="68">
        <v>-0.44</v>
      </c>
      <c r="AF12" s="68">
        <v>-7.0000000000000007E-2</v>
      </c>
      <c r="AG12" s="68">
        <v>-0.43</v>
      </c>
      <c r="AH12" s="68">
        <v>-0.5</v>
      </c>
      <c r="AI12" s="68">
        <v>-0.04</v>
      </c>
      <c r="AJ12" s="68">
        <v>-0.1</v>
      </c>
      <c r="AK12" s="68">
        <v>0.13</v>
      </c>
      <c r="AL12" s="68">
        <v>0.6</v>
      </c>
      <c r="AM12" s="68">
        <v>-0.72</v>
      </c>
      <c r="AN12" s="68">
        <v>-0.75</v>
      </c>
      <c r="AO12" s="68">
        <v>-0.62</v>
      </c>
      <c r="AP12" s="68">
        <v>-0.6</v>
      </c>
      <c r="AQ12" s="68">
        <v>-0.04</v>
      </c>
      <c r="AR12" s="68">
        <v>-0.14000000000000001</v>
      </c>
      <c r="AS12" s="68">
        <v>-0.38</v>
      </c>
      <c r="AT12" s="68">
        <v>0.01</v>
      </c>
      <c r="AU12" s="68">
        <v>-0.75</v>
      </c>
      <c r="AV12" s="68">
        <v>-0.79</v>
      </c>
      <c r="AW12" s="68">
        <v>-0.65</v>
      </c>
      <c r="AX12" s="68">
        <v>-0.54</v>
      </c>
      <c r="AY12" s="68">
        <v>-0.1</v>
      </c>
      <c r="AZ12" s="68">
        <v>-0.2</v>
      </c>
      <c r="BA12" s="68">
        <v>-0.03</v>
      </c>
      <c r="BB12" s="68">
        <v>-0.71</v>
      </c>
      <c r="BC12" s="68">
        <v>-0.44</v>
      </c>
      <c r="BD12" s="68">
        <v>-0.03</v>
      </c>
      <c r="BE12" s="68">
        <v>-0.05</v>
      </c>
      <c r="BF12" s="68">
        <v>-0.78</v>
      </c>
      <c r="BG12" s="68">
        <v>-0.81</v>
      </c>
      <c r="BH12" s="68">
        <v>-0.69</v>
      </c>
      <c r="BI12" s="68">
        <v>-0.03</v>
      </c>
      <c r="BJ12" s="68">
        <v>-0.44</v>
      </c>
      <c r="BK12" s="68">
        <v>-0.71</v>
      </c>
      <c r="BL12" s="68">
        <v>-0.6</v>
      </c>
    </row>
    <row r="13" spans="2:64">
      <c r="C13" s="35" t="s">
        <v>180</v>
      </c>
      <c r="E13" s="38"/>
      <c r="F13" s="38">
        <v>9.1000000000000004E-3</v>
      </c>
      <c r="G13" s="38">
        <v>6.0000000000000001E-3</v>
      </c>
      <c r="I13" s="69" t="s">
        <v>180</v>
      </c>
      <c r="J13" s="37">
        <v>-0.03</v>
      </c>
      <c r="K13" s="37">
        <v>0.26</v>
      </c>
      <c r="L13" s="37">
        <v>0.14000000000000001</v>
      </c>
      <c r="M13" s="37">
        <v>0.02</v>
      </c>
      <c r="N13" s="37">
        <v>0.02</v>
      </c>
      <c r="O13" s="37">
        <v>-0.03</v>
      </c>
      <c r="P13" s="37">
        <v>0.04</v>
      </c>
      <c r="Q13" s="37">
        <v>1</v>
      </c>
      <c r="R13" s="37">
        <v>0.1</v>
      </c>
      <c r="S13" s="37">
        <v>0.02</v>
      </c>
      <c r="T13" s="37">
        <v>0.2</v>
      </c>
      <c r="U13" s="37">
        <v>0.12</v>
      </c>
      <c r="V13" s="37">
        <v>-0.01</v>
      </c>
      <c r="W13" s="37">
        <v>0</v>
      </c>
      <c r="X13" s="37">
        <v>-0.01</v>
      </c>
      <c r="Y13" s="37">
        <v>-0.01</v>
      </c>
      <c r="Z13" s="37">
        <v>-0.01</v>
      </c>
      <c r="AA13" s="37">
        <v>-0.01</v>
      </c>
      <c r="AB13" s="37">
        <v>-0.02</v>
      </c>
      <c r="AC13" s="37">
        <v>0.26</v>
      </c>
      <c r="AD13" s="68">
        <v>0.23</v>
      </c>
      <c r="AE13" s="68">
        <v>-0.08</v>
      </c>
      <c r="AF13" s="68">
        <v>0.21</v>
      </c>
      <c r="AG13" s="68">
        <v>-0.01</v>
      </c>
      <c r="AH13" s="68">
        <v>-0.03</v>
      </c>
      <c r="AI13" s="68">
        <v>0.33</v>
      </c>
      <c r="AJ13" s="68">
        <v>0.02</v>
      </c>
      <c r="AK13" s="68">
        <v>0.28000000000000003</v>
      </c>
      <c r="AL13" s="68">
        <v>0.01</v>
      </c>
      <c r="AM13" s="68">
        <v>-0.03</v>
      </c>
      <c r="AN13" s="68">
        <v>-0.03</v>
      </c>
      <c r="AO13" s="68">
        <v>-0.02</v>
      </c>
      <c r="AP13" s="68">
        <v>-0.01</v>
      </c>
      <c r="AQ13" s="68">
        <v>0.14000000000000001</v>
      </c>
      <c r="AR13" s="68">
        <v>0.03</v>
      </c>
      <c r="AS13" s="68">
        <v>0.33</v>
      </c>
      <c r="AT13" s="68">
        <v>0.3</v>
      </c>
      <c r="AU13" s="68">
        <v>-0.03</v>
      </c>
      <c r="AV13" s="68">
        <v>-0.03</v>
      </c>
      <c r="AW13" s="68">
        <v>-0.02</v>
      </c>
      <c r="AX13" s="68">
        <v>0.15</v>
      </c>
      <c r="AY13" s="68">
        <v>-0.01</v>
      </c>
      <c r="AZ13" s="68">
        <v>-0.01</v>
      </c>
      <c r="BA13" s="68">
        <v>0.09</v>
      </c>
      <c r="BB13" s="68">
        <v>0.02</v>
      </c>
      <c r="BC13" s="68">
        <v>0.01</v>
      </c>
      <c r="BD13" s="68">
        <v>0.51</v>
      </c>
      <c r="BE13" s="68">
        <v>7.0000000000000007E-2</v>
      </c>
      <c r="BF13" s="68">
        <v>-0.05</v>
      </c>
      <c r="BG13" s="68">
        <v>-0.05</v>
      </c>
      <c r="BH13" s="68">
        <v>-0.05</v>
      </c>
      <c r="BI13" s="68">
        <v>0.51</v>
      </c>
      <c r="BJ13" s="68">
        <v>-0.08</v>
      </c>
      <c r="BK13" s="68">
        <v>0.02</v>
      </c>
      <c r="BL13" s="68">
        <v>-0.02</v>
      </c>
    </row>
    <row r="14" spans="2:64">
      <c r="C14" s="35" t="s">
        <v>181</v>
      </c>
      <c r="E14" s="38"/>
      <c r="F14" s="38">
        <v>3.4099999999999998E-2</v>
      </c>
      <c r="G14" s="38">
        <v>0.15870000000000001</v>
      </c>
      <c r="I14" s="69" t="s">
        <v>181</v>
      </c>
      <c r="J14" s="37">
        <v>0.19</v>
      </c>
      <c r="K14" s="37">
        <v>0.23</v>
      </c>
      <c r="L14" s="37">
        <v>0.25</v>
      </c>
      <c r="M14" s="37">
        <v>0.2</v>
      </c>
      <c r="N14" s="37">
        <v>0.2</v>
      </c>
      <c r="O14" s="37">
        <v>0.14000000000000001</v>
      </c>
      <c r="P14" s="37">
        <v>-0.14000000000000001</v>
      </c>
      <c r="Q14" s="37">
        <v>0.1</v>
      </c>
      <c r="R14" s="37">
        <v>1</v>
      </c>
      <c r="S14" s="37">
        <v>0.12</v>
      </c>
      <c r="T14" s="37">
        <v>7.0000000000000007E-2</v>
      </c>
      <c r="U14" s="37">
        <v>0.2</v>
      </c>
      <c r="V14" s="37">
        <v>0.28000000000000003</v>
      </c>
      <c r="W14" s="37">
        <v>0.27</v>
      </c>
      <c r="X14" s="37">
        <v>0.28000000000000003</v>
      </c>
      <c r="Y14" s="37">
        <v>0.28000000000000003</v>
      </c>
      <c r="Z14" s="37">
        <v>0.26</v>
      </c>
      <c r="AA14" s="37">
        <v>0.27</v>
      </c>
      <c r="AB14" s="37">
        <v>0.26</v>
      </c>
      <c r="AC14" s="37">
        <v>0.13</v>
      </c>
      <c r="AD14" s="68">
        <v>0.23</v>
      </c>
      <c r="AE14" s="68">
        <v>0.18</v>
      </c>
      <c r="AF14" s="68">
        <v>0.25</v>
      </c>
      <c r="AG14" s="68">
        <v>0.28000000000000003</v>
      </c>
      <c r="AH14" s="68">
        <v>0.31</v>
      </c>
      <c r="AI14" s="68">
        <v>0.08</v>
      </c>
      <c r="AJ14" s="68">
        <v>-0.04</v>
      </c>
      <c r="AK14" s="68">
        <v>0.19</v>
      </c>
      <c r="AL14" s="68">
        <v>-0.26</v>
      </c>
      <c r="AM14" s="68">
        <v>0.19</v>
      </c>
      <c r="AN14" s="68">
        <v>0.17</v>
      </c>
      <c r="AO14" s="68">
        <v>0.19</v>
      </c>
      <c r="AP14" s="68">
        <v>0.35</v>
      </c>
      <c r="AQ14" s="68">
        <v>-0.02</v>
      </c>
      <c r="AR14" s="68">
        <v>-0.02</v>
      </c>
      <c r="AS14" s="68">
        <v>0.2</v>
      </c>
      <c r="AT14" s="68">
        <v>0.13</v>
      </c>
      <c r="AU14" s="68">
        <v>0.21</v>
      </c>
      <c r="AV14" s="68">
        <v>0.19</v>
      </c>
      <c r="AW14" s="68">
        <v>0.2</v>
      </c>
      <c r="AX14" s="68">
        <v>0.24</v>
      </c>
      <c r="AY14" s="68">
        <v>0.06</v>
      </c>
      <c r="AZ14" s="68">
        <v>7.0000000000000007E-2</v>
      </c>
      <c r="BA14" s="68">
        <v>0.01</v>
      </c>
      <c r="BB14" s="68">
        <v>0.2</v>
      </c>
      <c r="BC14" s="68">
        <v>0.16</v>
      </c>
      <c r="BD14" s="68">
        <v>0.13</v>
      </c>
      <c r="BE14" s="68">
        <v>-0.11</v>
      </c>
      <c r="BF14" s="68">
        <v>0.2</v>
      </c>
      <c r="BG14" s="68">
        <v>0.19</v>
      </c>
      <c r="BH14" s="68">
        <v>0.2</v>
      </c>
      <c r="BI14" s="68">
        <v>0.13</v>
      </c>
      <c r="BJ14" s="68">
        <v>0.18</v>
      </c>
      <c r="BK14" s="68">
        <v>0.2</v>
      </c>
      <c r="BL14" s="68">
        <v>0.26</v>
      </c>
    </row>
    <row r="15" spans="2:64">
      <c r="C15" s="35" t="s">
        <v>127</v>
      </c>
      <c r="E15" s="38"/>
      <c r="F15" s="38">
        <v>3.78E-2</v>
      </c>
      <c r="G15" s="38">
        <v>9.2499999999999999E-2</v>
      </c>
      <c r="I15" s="69" t="s">
        <v>127</v>
      </c>
      <c r="J15" s="37">
        <v>0.35</v>
      </c>
      <c r="K15" s="37">
        <v>0.35</v>
      </c>
      <c r="L15" s="37">
        <v>0.62</v>
      </c>
      <c r="M15" s="37">
        <v>0.39</v>
      </c>
      <c r="N15" s="37">
        <v>0.39</v>
      </c>
      <c r="O15" s="37">
        <v>0.13</v>
      </c>
      <c r="P15" s="37">
        <v>-0.25</v>
      </c>
      <c r="Q15" s="37">
        <v>0.02</v>
      </c>
      <c r="R15" s="37">
        <v>0.12</v>
      </c>
      <c r="S15" s="37">
        <v>1</v>
      </c>
      <c r="T15" s="37">
        <v>0.08</v>
      </c>
      <c r="U15" s="37">
        <v>0.41</v>
      </c>
      <c r="V15" s="37">
        <v>0.28999999999999998</v>
      </c>
      <c r="W15" s="37">
        <v>0.28999999999999998</v>
      </c>
      <c r="X15" s="37">
        <v>0.27</v>
      </c>
      <c r="Y15" s="37">
        <v>0.28999999999999998</v>
      </c>
      <c r="Z15" s="37">
        <v>0.3</v>
      </c>
      <c r="AA15" s="37">
        <v>0.26</v>
      </c>
      <c r="AB15" s="37">
        <v>0.35</v>
      </c>
      <c r="AC15" s="37">
        <v>0.26</v>
      </c>
      <c r="AD15" s="68">
        <v>0.3</v>
      </c>
      <c r="AE15" s="68">
        <v>0.4</v>
      </c>
      <c r="AF15" s="68">
        <v>0.32</v>
      </c>
      <c r="AG15" s="68">
        <v>0.28999999999999998</v>
      </c>
      <c r="AH15" s="68">
        <v>0.43</v>
      </c>
      <c r="AI15" s="68">
        <v>0.35</v>
      </c>
      <c r="AJ15" s="68">
        <v>0.33</v>
      </c>
      <c r="AK15" s="68">
        <v>7.0000000000000007E-2</v>
      </c>
      <c r="AL15" s="68">
        <v>-0.36</v>
      </c>
      <c r="AM15" s="68">
        <v>0.35</v>
      </c>
      <c r="AN15" s="68">
        <v>0.33</v>
      </c>
      <c r="AO15" s="68">
        <v>0.34</v>
      </c>
      <c r="AP15" s="68">
        <v>0.36</v>
      </c>
      <c r="AQ15" s="68">
        <v>0.34</v>
      </c>
      <c r="AR15" s="68">
        <v>0.34</v>
      </c>
      <c r="AS15" s="68">
        <v>0.23</v>
      </c>
      <c r="AT15" s="68">
        <v>0.01</v>
      </c>
      <c r="AU15" s="68">
        <v>0.36</v>
      </c>
      <c r="AV15" s="68">
        <v>0.33</v>
      </c>
      <c r="AW15" s="68">
        <v>0.35</v>
      </c>
      <c r="AX15" s="68">
        <v>0.33</v>
      </c>
      <c r="AY15" s="68">
        <v>7.0000000000000007E-2</v>
      </c>
      <c r="AZ15" s="68">
        <v>0.1</v>
      </c>
      <c r="BA15" s="68">
        <v>0</v>
      </c>
      <c r="BB15" s="68">
        <v>0.39</v>
      </c>
      <c r="BC15" s="68">
        <v>0.28999999999999998</v>
      </c>
      <c r="BD15" s="68">
        <v>0.31</v>
      </c>
      <c r="BE15" s="68">
        <v>0.16</v>
      </c>
      <c r="BF15" s="68">
        <v>0.31</v>
      </c>
      <c r="BG15" s="68">
        <v>0.31</v>
      </c>
      <c r="BH15" s="68">
        <v>0.3</v>
      </c>
      <c r="BI15" s="68">
        <v>0.31</v>
      </c>
      <c r="BJ15" s="68">
        <v>0.4</v>
      </c>
      <c r="BK15" s="68">
        <v>0.39</v>
      </c>
      <c r="BL15" s="68">
        <v>0.35</v>
      </c>
    </row>
    <row r="16" spans="2:64">
      <c r="C16" s="35" t="s">
        <v>182</v>
      </c>
      <c r="E16" s="38"/>
      <c r="F16" s="38">
        <v>5.7000000000000002E-3</v>
      </c>
      <c r="G16" s="38">
        <v>3.9100000000000003E-2</v>
      </c>
      <c r="I16" s="69" t="s">
        <v>182</v>
      </c>
      <c r="J16" s="37">
        <v>0.19</v>
      </c>
      <c r="K16" s="37">
        <v>0.19</v>
      </c>
      <c r="L16" s="37">
        <v>0.14000000000000001</v>
      </c>
      <c r="M16" s="37">
        <v>0.19</v>
      </c>
      <c r="N16" s="37">
        <v>0.19</v>
      </c>
      <c r="O16" s="37">
        <v>7.0000000000000007E-2</v>
      </c>
      <c r="P16" s="37">
        <v>-0.15</v>
      </c>
      <c r="Q16" s="37">
        <v>0.2</v>
      </c>
      <c r="R16" s="37">
        <v>7.0000000000000007E-2</v>
      </c>
      <c r="S16" s="37">
        <v>0.08</v>
      </c>
      <c r="T16" s="37">
        <v>1</v>
      </c>
      <c r="U16" s="37">
        <v>0.17</v>
      </c>
      <c r="V16" s="37">
        <v>0.13</v>
      </c>
      <c r="W16" s="37">
        <v>0.13</v>
      </c>
      <c r="X16" s="37">
        <v>0.13</v>
      </c>
      <c r="Y16" s="37">
        <v>0.14000000000000001</v>
      </c>
      <c r="Z16" s="37">
        <v>0.14000000000000001</v>
      </c>
      <c r="AA16" s="37">
        <v>0.13</v>
      </c>
      <c r="AB16" s="37">
        <v>0.17</v>
      </c>
      <c r="AC16" s="37">
        <v>0.06</v>
      </c>
      <c r="AD16" s="68">
        <v>0.3</v>
      </c>
      <c r="AE16" s="68">
        <v>0.12</v>
      </c>
      <c r="AF16" s="68">
        <v>0.06</v>
      </c>
      <c r="AG16" s="68">
        <v>0.14000000000000001</v>
      </c>
      <c r="AH16" s="68">
        <v>0.14000000000000001</v>
      </c>
      <c r="AI16" s="68">
        <v>0.08</v>
      </c>
      <c r="AJ16" s="68">
        <v>0.03</v>
      </c>
      <c r="AK16" s="68">
        <v>0.03</v>
      </c>
      <c r="AL16" s="68">
        <v>-0.17</v>
      </c>
      <c r="AM16" s="68">
        <v>0.19</v>
      </c>
      <c r="AN16" s="68">
        <v>0.17</v>
      </c>
      <c r="AO16" s="68">
        <v>0.2</v>
      </c>
      <c r="AP16" s="68">
        <v>0.17</v>
      </c>
      <c r="AQ16" s="68">
        <v>0.04</v>
      </c>
      <c r="AR16" s="68">
        <v>0.04</v>
      </c>
      <c r="AS16" s="68">
        <v>0.12</v>
      </c>
      <c r="AT16" s="68">
        <v>0.06</v>
      </c>
      <c r="AU16" s="68">
        <v>0.21</v>
      </c>
      <c r="AV16" s="68">
        <v>0.18</v>
      </c>
      <c r="AW16" s="68">
        <v>0.21</v>
      </c>
      <c r="AX16" s="68">
        <v>0.18</v>
      </c>
      <c r="AY16" s="68">
        <v>0.03</v>
      </c>
      <c r="AZ16" s="68">
        <v>0.05</v>
      </c>
      <c r="BA16" s="68">
        <v>0.03</v>
      </c>
      <c r="BB16" s="68">
        <v>0.19</v>
      </c>
      <c r="BC16" s="68">
        <v>0.17</v>
      </c>
      <c r="BD16" s="68">
        <v>0.12</v>
      </c>
      <c r="BE16" s="68">
        <v>0.03</v>
      </c>
      <c r="BF16" s="68">
        <v>0.22</v>
      </c>
      <c r="BG16" s="68">
        <v>0.2</v>
      </c>
      <c r="BH16" s="68">
        <v>0.22</v>
      </c>
      <c r="BI16" s="68">
        <v>0.12</v>
      </c>
      <c r="BJ16" s="68">
        <v>0.12</v>
      </c>
      <c r="BK16" s="68">
        <v>0.19</v>
      </c>
      <c r="BL16" s="68">
        <v>0.17</v>
      </c>
    </row>
    <row r="17" spans="3:64">
      <c r="C17" s="35" t="s">
        <v>183</v>
      </c>
      <c r="E17" s="38"/>
      <c r="F17" s="38">
        <v>4.3400000000000001E-2</v>
      </c>
      <c r="G17" s="38">
        <v>5.96E-2</v>
      </c>
      <c r="I17" s="69" t="s">
        <v>183</v>
      </c>
      <c r="J17" s="37">
        <v>0.64</v>
      </c>
      <c r="K17" s="37">
        <v>0.75</v>
      </c>
      <c r="L17" s="37">
        <v>0.59</v>
      </c>
      <c r="M17" s="37">
        <v>0.63</v>
      </c>
      <c r="N17" s="37">
        <v>0.63</v>
      </c>
      <c r="O17" s="37">
        <v>0.28000000000000003</v>
      </c>
      <c r="P17" s="37">
        <v>-0.51</v>
      </c>
      <c r="Q17" s="37">
        <v>0.12</v>
      </c>
      <c r="R17" s="37">
        <v>0.2</v>
      </c>
      <c r="S17" s="37">
        <v>0.41</v>
      </c>
      <c r="T17" s="37">
        <v>0.17</v>
      </c>
      <c r="U17" s="37">
        <v>1</v>
      </c>
      <c r="V17" s="37">
        <v>0.57999999999999996</v>
      </c>
      <c r="W17" s="37">
        <v>0.56999999999999995</v>
      </c>
      <c r="X17" s="37">
        <v>0.56999999999999995</v>
      </c>
      <c r="Y17" s="37">
        <v>0.61</v>
      </c>
      <c r="Z17" s="37">
        <v>0.63</v>
      </c>
      <c r="AA17" s="37">
        <v>0.56999999999999995</v>
      </c>
      <c r="AB17" s="37">
        <v>0.66</v>
      </c>
      <c r="AC17" s="37">
        <v>0.32</v>
      </c>
      <c r="AD17" s="68">
        <v>0.71</v>
      </c>
      <c r="AE17" s="68">
        <v>0.55000000000000004</v>
      </c>
      <c r="AF17" s="68">
        <v>0.17</v>
      </c>
      <c r="AG17" s="68">
        <v>0.59</v>
      </c>
      <c r="AH17" s="68">
        <v>0.55000000000000004</v>
      </c>
      <c r="AI17" s="68">
        <v>0.15</v>
      </c>
      <c r="AJ17" s="68">
        <v>0.19</v>
      </c>
      <c r="AK17" s="68">
        <v>-0.02</v>
      </c>
      <c r="AL17" s="68">
        <v>-0.66</v>
      </c>
      <c r="AM17" s="68">
        <v>0.63</v>
      </c>
      <c r="AN17" s="68">
        <v>0.6</v>
      </c>
      <c r="AO17" s="68">
        <v>0.61</v>
      </c>
      <c r="AP17" s="68">
        <v>0.66</v>
      </c>
      <c r="AQ17" s="68">
        <v>0.12</v>
      </c>
      <c r="AR17" s="68">
        <v>0.21</v>
      </c>
      <c r="AS17" s="68">
        <v>0.52</v>
      </c>
      <c r="AT17" s="68">
        <v>0.04</v>
      </c>
      <c r="AU17" s="68">
        <v>0.66</v>
      </c>
      <c r="AV17" s="68">
        <v>0.62</v>
      </c>
      <c r="AW17" s="68">
        <v>0.64</v>
      </c>
      <c r="AX17" s="68">
        <v>0.75</v>
      </c>
      <c r="AY17" s="68">
        <v>0.17</v>
      </c>
      <c r="AZ17" s="68">
        <v>0.24</v>
      </c>
      <c r="BA17" s="68">
        <v>0.04</v>
      </c>
      <c r="BB17" s="68">
        <v>0.63</v>
      </c>
      <c r="BC17" s="68">
        <v>0.4</v>
      </c>
      <c r="BD17" s="68">
        <v>0.16</v>
      </c>
      <c r="BE17" s="68">
        <v>0.11</v>
      </c>
      <c r="BF17" s="68">
        <v>0.62</v>
      </c>
      <c r="BG17" s="68">
        <v>0.6</v>
      </c>
      <c r="BH17" s="68">
        <v>0.6</v>
      </c>
      <c r="BI17" s="68">
        <v>0.16</v>
      </c>
      <c r="BJ17" s="68">
        <v>0.55000000000000004</v>
      </c>
      <c r="BK17" s="68">
        <v>0.63</v>
      </c>
      <c r="BL17" s="68">
        <v>0.66</v>
      </c>
    </row>
    <row r="18" spans="3:64">
      <c r="C18" s="35" t="s">
        <v>184</v>
      </c>
      <c r="E18" s="38"/>
      <c r="F18" s="38">
        <v>6.6400000000000001E-2</v>
      </c>
      <c r="G18" s="38">
        <v>0.16769999999999999</v>
      </c>
      <c r="I18" s="69" t="s">
        <v>184</v>
      </c>
      <c r="J18" s="37">
        <v>0.64</v>
      </c>
      <c r="K18" s="37">
        <v>0.56999999999999995</v>
      </c>
      <c r="L18" s="37">
        <v>0.51</v>
      </c>
      <c r="M18" s="37">
        <v>0.64</v>
      </c>
      <c r="N18" s="37">
        <v>0.64</v>
      </c>
      <c r="O18" s="37">
        <v>0.27</v>
      </c>
      <c r="P18" s="37">
        <v>-0.42</v>
      </c>
      <c r="Q18" s="37">
        <v>-0.01</v>
      </c>
      <c r="R18" s="37">
        <v>0.28000000000000003</v>
      </c>
      <c r="S18" s="37">
        <v>0.28999999999999998</v>
      </c>
      <c r="T18" s="37">
        <v>0.13</v>
      </c>
      <c r="U18" s="37">
        <v>0.57999999999999996</v>
      </c>
      <c r="V18" s="37">
        <v>1</v>
      </c>
      <c r="W18" s="37">
        <v>0.98</v>
      </c>
      <c r="X18" s="37">
        <v>0.98</v>
      </c>
      <c r="Y18" s="37">
        <v>0.96</v>
      </c>
      <c r="Z18" s="37">
        <v>0.95</v>
      </c>
      <c r="AA18" s="37">
        <v>0.94</v>
      </c>
      <c r="AB18" s="37">
        <v>0.92</v>
      </c>
      <c r="AC18" s="37">
        <v>0.22</v>
      </c>
      <c r="AD18" s="68">
        <v>0.61</v>
      </c>
      <c r="AE18" s="68">
        <v>0.47</v>
      </c>
      <c r="AF18" s="68">
        <v>0.18</v>
      </c>
      <c r="AG18" s="68">
        <v>0.99</v>
      </c>
      <c r="AH18" s="68">
        <v>0.68</v>
      </c>
      <c r="AI18" s="68">
        <v>0.14000000000000001</v>
      </c>
      <c r="AJ18" s="68">
        <v>0.19</v>
      </c>
      <c r="AK18" s="68">
        <v>0.31</v>
      </c>
      <c r="AL18" s="68">
        <v>-0.92</v>
      </c>
      <c r="AM18" s="68">
        <v>0.64</v>
      </c>
      <c r="AN18" s="68">
        <v>0.59</v>
      </c>
      <c r="AO18" s="68">
        <v>0.65</v>
      </c>
      <c r="AP18" s="68">
        <v>0.92</v>
      </c>
      <c r="AQ18" s="68">
        <v>0.12</v>
      </c>
      <c r="AR18" s="68">
        <v>0.21</v>
      </c>
      <c r="AS18" s="68">
        <v>0.37</v>
      </c>
      <c r="AT18" s="68">
        <v>0</v>
      </c>
      <c r="AU18" s="68">
        <v>0.64</v>
      </c>
      <c r="AV18" s="68">
        <v>0.57999999999999996</v>
      </c>
      <c r="AW18" s="68">
        <v>0.63</v>
      </c>
      <c r="AX18" s="68">
        <v>0.66</v>
      </c>
      <c r="AY18" s="68">
        <v>0.16</v>
      </c>
      <c r="AZ18" s="68">
        <v>0.23</v>
      </c>
      <c r="BA18" s="68">
        <v>0.03</v>
      </c>
      <c r="BB18" s="68">
        <v>0.64</v>
      </c>
      <c r="BC18" s="68">
        <v>0.47</v>
      </c>
      <c r="BD18" s="68">
        <v>0.13</v>
      </c>
      <c r="BE18" s="68">
        <v>0.1</v>
      </c>
      <c r="BF18" s="68">
        <v>0.57999999999999996</v>
      </c>
      <c r="BG18" s="68">
        <v>0.55000000000000004</v>
      </c>
      <c r="BH18" s="68">
        <v>0.56999999999999995</v>
      </c>
      <c r="BI18" s="68">
        <v>0.13</v>
      </c>
      <c r="BJ18" s="68">
        <v>0.47</v>
      </c>
      <c r="BK18" s="68">
        <v>0.64</v>
      </c>
      <c r="BL18" s="68">
        <v>0.92</v>
      </c>
    </row>
    <row r="19" spans="3:64">
      <c r="C19" s="35" t="s">
        <v>185</v>
      </c>
      <c r="E19" s="38"/>
      <c r="F19" s="38">
        <v>6.3899999999999998E-2</v>
      </c>
      <c r="G19" s="38">
        <v>0.16650000000000001</v>
      </c>
      <c r="I19" s="69" t="s">
        <v>185</v>
      </c>
      <c r="J19" s="37">
        <v>0.64</v>
      </c>
      <c r="K19" s="37">
        <v>0.56000000000000005</v>
      </c>
      <c r="L19" s="37">
        <v>0.48</v>
      </c>
      <c r="M19" s="37">
        <v>0.64</v>
      </c>
      <c r="N19" s="37">
        <v>0.64</v>
      </c>
      <c r="O19" s="37">
        <v>0.25</v>
      </c>
      <c r="P19" s="37">
        <v>-0.43</v>
      </c>
      <c r="Q19" s="37">
        <v>0</v>
      </c>
      <c r="R19" s="37">
        <v>0.27</v>
      </c>
      <c r="S19" s="37">
        <v>0.28999999999999998</v>
      </c>
      <c r="T19" s="37">
        <v>0.13</v>
      </c>
      <c r="U19" s="37">
        <v>0.56999999999999995</v>
      </c>
      <c r="V19" s="37">
        <v>0.98</v>
      </c>
      <c r="W19" s="37">
        <v>1</v>
      </c>
      <c r="X19" s="37">
        <v>0.91</v>
      </c>
      <c r="Y19" s="37">
        <v>0.93</v>
      </c>
      <c r="Z19" s="37">
        <v>0.95</v>
      </c>
      <c r="AA19" s="37">
        <v>0.87</v>
      </c>
      <c r="AB19" s="37">
        <v>0.9</v>
      </c>
      <c r="AC19" s="37">
        <v>0.23</v>
      </c>
      <c r="AD19" s="68">
        <v>0.61</v>
      </c>
      <c r="AE19" s="68">
        <v>0.45</v>
      </c>
      <c r="AF19" s="68">
        <v>0.19</v>
      </c>
      <c r="AG19" s="68">
        <v>0.97</v>
      </c>
      <c r="AH19" s="68">
        <v>0.67</v>
      </c>
      <c r="AI19" s="68">
        <v>0.16</v>
      </c>
      <c r="AJ19" s="68">
        <v>0.2</v>
      </c>
      <c r="AK19" s="68">
        <v>0.31</v>
      </c>
      <c r="AL19" s="68">
        <v>-0.9</v>
      </c>
      <c r="AM19" s="68">
        <v>0.64</v>
      </c>
      <c r="AN19" s="68">
        <v>0.61</v>
      </c>
      <c r="AO19" s="68">
        <v>0.61</v>
      </c>
      <c r="AP19" s="68">
        <v>0.9</v>
      </c>
      <c r="AQ19" s="68">
        <v>0.14000000000000001</v>
      </c>
      <c r="AR19" s="68">
        <v>0.22</v>
      </c>
      <c r="AS19" s="68">
        <v>0.34</v>
      </c>
      <c r="AT19" s="68">
        <v>0</v>
      </c>
      <c r="AU19" s="68">
        <v>0.63</v>
      </c>
      <c r="AV19" s="68">
        <v>0.61</v>
      </c>
      <c r="AW19" s="68">
        <v>0.59</v>
      </c>
      <c r="AX19" s="68">
        <v>0.66</v>
      </c>
      <c r="AY19" s="68">
        <v>0.16</v>
      </c>
      <c r="AZ19" s="68">
        <v>0.23</v>
      </c>
      <c r="BA19" s="68">
        <v>0.04</v>
      </c>
      <c r="BB19" s="68">
        <v>0.64</v>
      </c>
      <c r="BC19" s="68">
        <v>0.42</v>
      </c>
      <c r="BD19" s="68">
        <v>0.15</v>
      </c>
      <c r="BE19" s="68">
        <v>0.1</v>
      </c>
      <c r="BF19" s="68">
        <v>0.56999999999999995</v>
      </c>
      <c r="BG19" s="68">
        <v>0.56999999999999995</v>
      </c>
      <c r="BH19" s="68">
        <v>0.54</v>
      </c>
      <c r="BI19" s="68">
        <v>0.15</v>
      </c>
      <c r="BJ19" s="68">
        <v>0.45</v>
      </c>
      <c r="BK19" s="68">
        <v>0.64</v>
      </c>
      <c r="BL19" s="68">
        <v>0.9</v>
      </c>
    </row>
    <row r="20" spans="3:64">
      <c r="C20" s="35" t="s">
        <v>186</v>
      </c>
      <c r="E20" s="38"/>
      <c r="F20" s="38">
        <v>6.9099999999999995E-2</v>
      </c>
      <c r="G20" s="38">
        <v>0.1769</v>
      </c>
      <c r="I20" s="69" t="s">
        <v>186</v>
      </c>
      <c r="J20" s="37">
        <v>0.62</v>
      </c>
      <c r="K20" s="37">
        <v>0.54</v>
      </c>
      <c r="L20" s="37">
        <v>0.52</v>
      </c>
      <c r="M20" s="37">
        <v>0.62</v>
      </c>
      <c r="N20" s="37">
        <v>0.62</v>
      </c>
      <c r="O20" s="37">
        <v>0.27</v>
      </c>
      <c r="P20" s="37">
        <v>-0.39</v>
      </c>
      <c r="Q20" s="37">
        <v>-0.01</v>
      </c>
      <c r="R20" s="37">
        <v>0.28000000000000003</v>
      </c>
      <c r="S20" s="37">
        <v>0.27</v>
      </c>
      <c r="T20" s="37">
        <v>0.13</v>
      </c>
      <c r="U20" s="37">
        <v>0.56999999999999995</v>
      </c>
      <c r="V20" s="37">
        <v>0.98</v>
      </c>
      <c r="W20" s="37">
        <v>0.91</v>
      </c>
      <c r="X20" s="37">
        <v>1</v>
      </c>
      <c r="Y20" s="37">
        <v>0.95</v>
      </c>
      <c r="Z20" s="37">
        <v>0.89</v>
      </c>
      <c r="AA20" s="37">
        <v>0.96</v>
      </c>
      <c r="AB20" s="37">
        <v>0.9</v>
      </c>
      <c r="AC20" s="37">
        <v>0.21</v>
      </c>
      <c r="AD20" s="68">
        <v>0.59</v>
      </c>
      <c r="AE20" s="68">
        <v>0.47</v>
      </c>
      <c r="AF20" s="68">
        <v>0.16</v>
      </c>
      <c r="AG20" s="68">
        <v>0.98</v>
      </c>
      <c r="AH20" s="68">
        <v>0.65</v>
      </c>
      <c r="AI20" s="68">
        <v>0.11</v>
      </c>
      <c r="AJ20" s="68">
        <v>0.17</v>
      </c>
      <c r="AK20" s="68">
        <v>0.3</v>
      </c>
      <c r="AL20" s="68">
        <v>-0.89</v>
      </c>
      <c r="AM20" s="68">
        <v>0.62</v>
      </c>
      <c r="AN20" s="68">
        <v>0.54</v>
      </c>
      <c r="AO20" s="68">
        <v>0.66</v>
      </c>
      <c r="AP20" s="68">
        <v>0.9</v>
      </c>
      <c r="AQ20" s="68">
        <v>0.09</v>
      </c>
      <c r="AR20" s="68">
        <v>0.2</v>
      </c>
      <c r="AS20" s="68">
        <v>0.39</v>
      </c>
      <c r="AT20" s="68">
        <v>0</v>
      </c>
      <c r="AU20" s="68">
        <v>0.62</v>
      </c>
      <c r="AV20" s="68">
        <v>0.52</v>
      </c>
      <c r="AW20" s="68">
        <v>0.65</v>
      </c>
      <c r="AX20" s="68">
        <v>0.63</v>
      </c>
      <c r="AY20" s="68">
        <v>0.16</v>
      </c>
      <c r="AZ20" s="68">
        <v>0.22</v>
      </c>
      <c r="BA20" s="68">
        <v>0.03</v>
      </c>
      <c r="BB20" s="68">
        <v>0.62</v>
      </c>
      <c r="BC20" s="68">
        <v>0.5</v>
      </c>
      <c r="BD20" s="68">
        <v>0.11</v>
      </c>
      <c r="BE20" s="68">
        <v>0.09</v>
      </c>
      <c r="BF20" s="68">
        <v>0.55000000000000004</v>
      </c>
      <c r="BG20" s="68">
        <v>0.5</v>
      </c>
      <c r="BH20" s="68">
        <v>0.57999999999999996</v>
      </c>
      <c r="BI20" s="68">
        <v>0.11</v>
      </c>
      <c r="BJ20" s="68">
        <v>0.47</v>
      </c>
      <c r="BK20" s="68">
        <v>0.62</v>
      </c>
      <c r="BL20" s="68">
        <v>0.9</v>
      </c>
    </row>
    <row r="21" spans="3:64">
      <c r="C21" s="35" t="s">
        <v>187</v>
      </c>
      <c r="E21" s="38"/>
      <c r="F21" s="38">
        <v>6.8000000000000005E-2</v>
      </c>
      <c r="G21" s="38">
        <v>0.16900000000000001</v>
      </c>
      <c r="I21" s="69" t="s">
        <v>187</v>
      </c>
      <c r="J21" s="37">
        <v>0.63</v>
      </c>
      <c r="K21" s="37">
        <v>0.57999999999999996</v>
      </c>
      <c r="L21" s="37">
        <v>0.53</v>
      </c>
      <c r="M21" s="37">
        <v>0.62</v>
      </c>
      <c r="N21" s="37">
        <v>0.62</v>
      </c>
      <c r="O21" s="37">
        <v>0.27</v>
      </c>
      <c r="P21" s="37">
        <v>-0.47</v>
      </c>
      <c r="Q21" s="37">
        <v>-0.01</v>
      </c>
      <c r="R21" s="37">
        <v>0.28000000000000003</v>
      </c>
      <c r="S21" s="37">
        <v>0.28999999999999998</v>
      </c>
      <c r="T21" s="37">
        <v>0.14000000000000001</v>
      </c>
      <c r="U21" s="37">
        <v>0.61</v>
      </c>
      <c r="V21" s="37">
        <v>0.96</v>
      </c>
      <c r="W21" s="37">
        <v>0.93</v>
      </c>
      <c r="X21" s="37">
        <v>0.95</v>
      </c>
      <c r="Y21" s="37">
        <v>1</v>
      </c>
      <c r="Z21" s="37">
        <v>0.97</v>
      </c>
      <c r="AA21" s="37">
        <v>0.98</v>
      </c>
      <c r="AB21" s="37">
        <v>0.89</v>
      </c>
      <c r="AC21" s="37">
        <v>0.22</v>
      </c>
      <c r="AD21" s="68">
        <v>0.62</v>
      </c>
      <c r="AE21" s="68">
        <v>0.47</v>
      </c>
      <c r="AF21" s="68">
        <v>0.17</v>
      </c>
      <c r="AG21" s="68">
        <v>0.97</v>
      </c>
      <c r="AH21" s="68">
        <v>0.67</v>
      </c>
      <c r="AI21" s="68">
        <v>0.13</v>
      </c>
      <c r="AJ21" s="68">
        <v>0.18</v>
      </c>
      <c r="AK21" s="68">
        <v>0.28999999999999998</v>
      </c>
      <c r="AL21" s="68">
        <v>-0.89</v>
      </c>
      <c r="AM21" s="68">
        <v>0.62</v>
      </c>
      <c r="AN21" s="68">
        <v>0.56999999999999995</v>
      </c>
      <c r="AO21" s="68">
        <v>0.62</v>
      </c>
      <c r="AP21" s="68">
        <v>0.89</v>
      </c>
      <c r="AQ21" s="68">
        <v>0.11</v>
      </c>
      <c r="AR21" s="68">
        <v>0.2</v>
      </c>
      <c r="AS21" s="68">
        <v>0.4</v>
      </c>
      <c r="AT21" s="68">
        <v>0</v>
      </c>
      <c r="AU21" s="68">
        <v>0.64</v>
      </c>
      <c r="AV21" s="68">
        <v>0.57999999999999996</v>
      </c>
      <c r="AW21" s="68">
        <v>0.64</v>
      </c>
      <c r="AX21" s="68">
        <v>0.7</v>
      </c>
      <c r="AY21" s="68">
        <v>0.16</v>
      </c>
      <c r="AZ21" s="68">
        <v>0.23</v>
      </c>
      <c r="BA21" s="68">
        <v>0.04</v>
      </c>
      <c r="BB21" s="68">
        <v>0.62</v>
      </c>
      <c r="BC21" s="68">
        <v>0.49</v>
      </c>
      <c r="BD21" s="68">
        <v>0.12</v>
      </c>
      <c r="BE21" s="68">
        <v>0.1</v>
      </c>
      <c r="BF21" s="68">
        <v>0.6</v>
      </c>
      <c r="BG21" s="68">
        <v>0.56999999999999995</v>
      </c>
      <c r="BH21" s="68">
        <v>0.6</v>
      </c>
      <c r="BI21" s="68">
        <v>0.12</v>
      </c>
      <c r="BJ21" s="68">
        <v>0.47</v>
      </c>
      <c r="BK21" s="68">
        <v>0.62</v>
      </c>
      <c r="BL21" s="68">
        <v>0.89</v>
      </c>
    </row>
    <row r="22" spans="3:64">
      <c r="C22" s="35" t="s">
        <v>188</v>
      </c>
      <c r="E22" s="38"/>
      <c r="F22" s="38">
        <v>6.6100000000000006E-2</v>
      </c>
      <c r="G22" s="38">
        <v>0.1757</v>
      </c>
      <c r="I22" s="69" t="s">
        <v>188</v>
      </c>
      <c r="J22" s="37">
        <v>0.66</v>
      </c>
      <c r="K22" s="37">
        <v>0.59</v>
      </c>
      <c r="L22" s="37">
        <v>0.5</v>
      </c>
      <c r="M22" s="37">
        <v>0.66</v>
      </c>
      <c r="N22" s="37">
        <v>0.66</v>
      </c>
      <c r="O22" s="37">
        <v>0.26</v>
      </c>
      <c r="P22" s="37">
        <v>-0.51</v>
      </c>
      <c r="Q22" s="37">
        <v>-0.01</v>
      </c>
      <c r="R22" s="37">
        <v>0.26</v>
      </c>
      <c r="S22" s="37">
        <v>0.3</v>
      </c>
      <c r="T22" s="37">
        <v>0.14000000000000001</v>
      </c>
      <c r="U22" s="37">
        <v>0.63</v>
      </c>
      <c r="V22" s="37">
        <v>0.95</v>
      </c>
      <c r="W22" s="37">
        <v>0.95</v>
      </c>
      <c r="X22" s="37">
        <v>0.89</v>
      </c>
      <c r="Y22" s="37">
        <v>0.97</v>
      </c>
      <c r="Z22" s="37">
        <v>1</v>
      </c>
      <c r="AA22" s="37">
        <v>0.9</v>
      </c>
      <c r="AB22" s="37">
        <v>0.89</v>
      </c>
      <c r="AC22" s="37">
        <v>0.24</v>
      </c>
      <c r="AD22" s="68">
        <v>0.64</v>
      </c>
      <c r="AE22" s="68">
        <v>0.48</v>
      </c>
      <c r="AF22" s="68">
        <v>0.17</v>
      </c>
      <c r="AG22" s="68">
        <v>0.95</v>
      </c>
      <c r="AH22" s="68">
        <v>0.68</v>
      </c>
      <c r="AI22" s="68">
        <v>0.14000000000000001</v>
      </c>
      <c r="AJ22" s="68">
        <v>0.19</v>
      </c>
      <c r="AK22" s="68">
        <v>0.27</v>
      </c>
      <c r="AL22" s="68">
        <v>-0.89</v>
      </c>
      <c r="AM22" s="68">
        <v>0.66</v>
      </c>
      <c r="AN22" s="68">
        <v>0.64</v>
      </c>
      <c r="AO22" s="68">
        <v>0.62</v>
      </c>
      <c r="AP22" s="68">
        <v>0.89</v>
      </c>
      <c r="AQ22" s="68">
        <v>0.12</v>
      </c>
      <c r="AR22" s="68">
        <v>0.21</v>
      </c>
      <c r="AS22" s="68">
        <v>0.37</v>
      </c>
      <c r="AT22" s="68">
        <v>-0.01</v>
      </c>
      <c r="AU22" s="68">
        <v>0.68</v>
      </c>
      <c r="AV22" s="68">
        <v>0.66</v>
      </c>
      <c r="AW22" s="68">
        <v>0.63</v>
      </c>
      <c r="AX22" s="68">
        <v>0.72</v>
      </c>
      <c r="AY22" s="68">
        <v>0.16</v>
      </c>
      <c r="AZ22" s="68">
        <v>0.24</v>
      </c>
      <c r="BA22" s="68">
        <v>0.04</v>
      </c>
      <c r="BB22" s="68">
        <v>0.66</v>
      </c>
      <c r="BC22" s="68">
        <v>0.46</v>
      </c>
      <c r="BD22" s="68">
        <v>0.12</v>
      </c>
      <c r="BE22" s="68">
        <v>0.1</v>
      </c>
      <c r="BF22" s="68">
        <v>0.64</v>
      </c>
      <c r="BG22" s="68">
        <v>0.64</v>
      </c>
      <c r="BH22" s="68">
        <v>0.6</v>
      </c>
      <c r="BI22" s="68">
        <v>0.12</v>
      </c>
      <c r="BJ22" s="68">
        <v>0.48</v>
      </c>
      <c r="BK22" s="68">
        <v>0.66</v>
      </c>
      <c r="BL22" s="68">
        <v>0.89</v>
      </c>
    </row>
    <row r="23" spans="3:64">
      <c r="C23" s="35" t="s">
        <v>189</v>
      </c>
      <c r="E23" s="38"/>
      <c r="F23" s="38">
        <v>7.0000000000000007E-2</v>
      </c>
      <c r="G23" s="38">
        <v>0.1724</v>
      </c>
      <c r="I23" s="69" t="s">
        <v>189</v>
      </c>
      <c r="J23" s="37">
        <v>0.56000000000000005</v>
      </c>
      <c r="K23" s="37">
        <v>0.53</v>
      </c>
      <c r="L23" s="37">
        <v>0.53</v>
      </c>
      <c r="M23" s="37">
        <v>0.56000000000000005</v>
      </c>
      <c r="N23" s="37">
        <v>0.56000000000000005</v>
      </c>
      <c r="O23" s="37">
        <v>0.26</v>
      </c>
      <c r="P23" s="37">
        <v>-0.41</v>
      </c>
      <c r="Q23" s="37">
        <v>-0.01</v>
      </c>
      <c r="R23" s="37">
        <v>0.27</v>
      </c>
      <c r="S23" s="37">
        <v>0.26</v>
      </c>
      <c r="T23" s="37">
        <v>0.13</v>
      </c>
      <c r="U23" s="37">
        <v>0.56999999999999995</v>
      </c>
      <c r="V23" s="37">
        <v>0.94</v>
      </c>
      <c r="W23" s="37">
        <v>0.87</v>
      </c>
      <c r="X23" s="37">
        <v>0.96</v>
      </c>
      <c r="Y23" s="37">
        <v>0.98</v>
      </c>
      <c r="Z23" s="37">
        <v>0.9</v>
      </c>
      <c r="AA23" s="37">
        <v>1</v>
      </c>
      <c r="AB23" s="37">
        <v>0.84</v>
      </c>
      <c r="AC23" s="37">
        <v>0.2</v>
      </c>
      <c r="AD23" s="68">
        <v>0.56999999999999995</v>
      </c>
      <c r="AE23" s="68">
        <v>0.45</v>
      </c>
      <c r="AF23" s="68">
        <v>0.15</v>
      </c>
      <c r="AG23" s="68">
        <v>0.95</v>
      </c>
      <c r="AH23" s="68">
        <v>0.63</v>
      </c>
      <c r="AI23" s="68">
        <v>0.1</v>
      </c>
      <c r="AJ23" s="68">
        <v>0.16</v>
      </c>
      <c r="AK23" s="68">
        <v>0.3</v>
      </c>
      <c r="AL23" s="68">
        <v>-0.84</v>
      </c>
      <c r="AM23" s="68">
        <v>0.56000000000000005</v>
      </c>
      <c r="AN23" s="68">
        <v>0.48</v>
      </c>
      <c r="AO23" s="68">
        <v>0.6</v>
      </c>
      <c r="AP23" s="68">
        <v>0.84</v>
      </c>
      <c r="AQ23" s="68">
        <v>0.08</v>
      </c>
      <c r="AR23" s="68">
        <v>0.18</v>
      </c>
      <c r="AS23" s="68">
        <v>0.4</v>
      </c>
      <c r="AT23" s="68">
        <v>0</v>
      </c>
      <c r="AU23" s="68">
        <v>0.57999999999999996</v>
      </c>
      <c r="AV23" s="68">
        <v>0.48</v>
      </c>
      <c r="AW23" s="68">
        <v>0.61</v>
      </c>
      <c r="AX23" s="68">
        <v>0.65</v>
      </c>
      <c r="AY23" s="68">
        <v>0.16</v>
      </c>
      <c r="AZ23" s="68">
        <v>0.21</v>
      </c>
      <c r="BA23" s="68">
        <v>0.03</v>
      </c>
      <c r="BB23" s="68">
        <v>0.56000000000000005</v>
      </c>
      <c r="BC23" s="68">
        <v>0.49</v>
      </c>
      <c r="BD23" s="68">
        <v>0.1</v>
      </c>
      <c r="BE23" s="68">
        <v>0.09</v>
      </c>
      <c r="BF23" s="68">
        <v>0.54</v>
      </c>
      <c r="BG23" s="68">
        <v>0.49</v>
      </c>
      <c r="BH23" s="68">
        <v>0.56999999999999995</v>
      </c>
      <c r="BI23" s="68">
        <v>0.1</v>
      </c>
      <c r="BJ23" s="68">
        <v>0.45</v>
      </c>
      <c r="BK23" s="68">
        <v>0.56000000000000005</v>
      </c>
      <c r="BL23" s="68">
        <v>0.84</v>
      </c>
    </row>
    <row r="24" spans="3:64">
      <c r="C24" s="35" t="s">
        <v>147</v>
      </c>
      <c r="E24" s="38"/>
      <c r="F24" s="38">
        <v>6.0600000000000001E-2</v>
      </c>
      <c r="G24" s="38">
        <v>0.14879999999999999</v>
      </c>
      <c r="I24" s="69" t="s">
        <v>147</v>
      </c>
      <c r="J24" s="37">
        <v>0.88</v>
      </c>
      <c r="K24" s="37">
        <v>0.65</v>
      </c>
      <c r="L24" s="37">
        <v>0.56000000000000005</v>
      </c>
      <c r="M24" s="37">
        <v>0.88</v>
      </c>
      <c r="N24" s="37">
        <v>0.88</v>
      </c>
      <c r="O24" s="37">
        <v>0.31</v>
      </c>
      <c r="P24" s="37">
        <v>-0.6</v>
      </c>
      <c r="Q24" s="37">
        <v>-0.02</v>
      </c>
      <c r="R24" s="37">
        <v>0.26</v>
      </c>
      <c r="S24" s="37">
        <v>0.35</v>
      </c>
      <c r="T24" s="37">
        <v>0.17</v>
      </c>
      <c r="U24" s="37">
        <v>0.66</v>
      </c>
      <c r="V24" s="37">
        <v>0.92</v>
      </c>
      <c r="W24" s="37">
        <v>0.9</v>
      </c>
      <c r="X24" s="37">
        <v>0.9</v>
      </c>
      <c r="Y24" s="37">
        <v>0.89</v>
      </c>
      <c r="Z24" s="37">
        <v>0.89</v>
      </c>
      <c r="AA24" s="37">
        <v>0.84</v>
      </c>
      <c r="AB24" s="37">
        <v>1</v>
      </c>
      <c r="AC24" s="37">
        <v>0.25</v>
      </c>
      <c r="AD24" s="68">
        <v>0.71</v>
      </c>
      <c r="AE24" s="68">
        <v>0.57999999999999996</v>
      </c>
      <c r="AF24" s="68">
        <v>0.2</v>
      </c>
      <c r="AG24" s="68">
        <v>0.92</v>
      </c>
      <c r="AH24" s="68">
        <v>0.72</v>
      </c>
      <c r="AI24" s="68">
        <v>0.16</v>
      </c>
      <c r="AJ24" s="68">
        <v>0.22</v>
      </c>
      <c r="AK24" s="68">
        <v>0.15</v>
      </c>
      <c r="AL24" s="68">
        <v>-0.99</v>
      </c>
      <c r="AM24" s="68">
        <v>0.88</v>
      </c>
      <c r="AN24" s="68">
        <v>0.83</v>
      </c>
      <c r="AO24" s="68">
        <v>0.87</v>
      </c>
      <c r="AP24" s="68">
        <v>0.99</v>
      </c>
      <c r="AQ24" s="68">
        <v>0.16</v>
      </c>
      <c r="AR24" s="68">
        <v>0.26</v>
      </c>
      <c r="AS24" s="68">
        <v>0.42</v>
      </c>
      <c r="AT24" s="68">
        <v>-0.01</v>
      </c>
      <c r="AU24" s="68">
        <v>0.85</v>
      </c>
      <c r="AV24" s="68">
        <v>0.79</v>
      </c>
      <c r="AW24" s="68">
        <v>0.84</v>
      </c>
      <c r="AX24" s="68">
        <v>0.71</v>
      </c>
      <c r="AY24" s="68">
        <v>0.18</v>
      </c>
      <c r="AZ24" s="68">
        <v>0.26</v>
      </c>
      <c r="BA24" s="68">
        <v>0.04</v>
      </c>
      <c r="BB24" s="68">
        <v>0.88</v>
      </c>
      <c r="BC24" s="68">
        <v>0.57999999999999996</v>
      </c>
      <c r="BD24" s="68">
        <v>0.14000000000000001</v>
      </c>
      <c r="BE24" s="68">
        <v>0.11</v>
      </c>
      <c r="BF24" s="68">
        <v>0.76</v>
      </c>
      <c r="BG24" s="68">
        <v>0.73</v>
      </c>
      <c r="BH24" s="68">
        <v>0.75</v>
      </c>
      <c r="BI24" s="68">
        <v>0.14000000000000001</v>
      </c>
      <c r="BJ24" s="68">
        <v>0.57999999999999996</v>
      </c>
      <c r="BK24" s="68">
        <v>0.88</v>
      </c>
      <c r="BL24" s="68">
        <v>1</v>
      </c>
    </row>
    <row r="25" spans="3:64">
      <c r="C25" s="35" t="s">
        <v>190</v>
      </c>
      <c r="E25" s="38"/>
      <c r="F25" s="38">
        <v>4.1799999999999997E-2</v>
      </c>
      <c r="G25" s="38">
        <v>7.1499999999999994E-2</v>
      </c>
      <c r="I25" s="69" t="s">
        <v>190</v>
      </c>
      <c r="J25" s="37">
        <v>0.24</v>
      </c>
      <c r="K25" s="37">
        <v>0.64</v>
      </c>
      <c r="L25" s="37">
        <v>0.27</v>
      </c>
      <c r="M25" s="37">
        <v>0.26</v>
      </c>
      <c r="N25" s="37">
        <v>0.26</v>
      </c>
      <c r="O25" s="37">
        <v>-0.13</v>
      </c>
      <c r="P25" s="37">
        <v>-0.19</v>
      </c>
      <c r="Q25" s="37">
        <v>0.26</v>
      </c>
      <c r="R25" s="37">
        <v>0.13</v>
      </c>
      <c r="S25" s="37">
        <v>0.26</v>
      </c>
      <c r="T25" s="37">
        <v>0.06</v>
      </c>
      <c r="U25" s="37">
        <v>0.32</v>
      </c>
      <c r="V25" s="37">
        <v>0.22</v>
      </c>
      <c r="W25" s="37">
        <v>0.23</v>
      </c>
      <c r="X25" s="37">
        <v>0.21</v>
      </c>
      <c r="Y25" s="37">
        <v>0.22</v>
      </c>
      <c r="Z25" s="37">
        <v>0.24</v>
      </c>
      <c r="AA25" s="37">
        <v>0.2</v>
      </c>
      <c r="AB25" s="37">
        <v>0.25</v>
      </c>
      <c r="AC25" s="37">
        <v>1</v>
      </c>
      <c r="AD25" s="68">
        <v>0.42</v>
      </c>
      <c r="AE25" s="68">
        <v>7.0000000000000007E-2</v>
      </c>
      <c r="AF25" s="68">
        <v>0.13</v>
      </c>
      <c r="AG25" s="68">
        <v>0.22</v>
      </c>
      <c r="AH25" s="68">
        <v>0.21</v>
      </c>
      <c r="AI25" s="68">
        <v>0.15</v>
      </c>
      <c r="AJ25" s="68">
        <v>0.06</v>
      </c>
      <c r="AK25" s="68">
        <v>0.08</v>
      </c>
      <c r="AL25" s="68">
        <v>-0.26</v>
      </c>
      <c r="AM25" s="68">
        <v>0.24</v>
      </c>
      <c r="AN25" s="68">
        <v>0.25</v>
      </c>
      <c r="AO25" s="68">
        <v>0.22</v>
      </c>
      <c r="AP25" s="68">
        <v>0.26</v>
      </c>
      <c r="AQ25" s="68">
        <v>0.09</v>
      </c>
      <c r="AR25" s="68">
        <v>0.08</v>
      </c>
      <c r="AS25" s="68">
        <v>0.41</v>
      </c>
      <c r="AT25" s="68">
        <v>0.47</v>
      </c>
      <c r="AU25" s="68">
        <v>0.24</v>
      </c>
      <c r="AV25" s="68">
        <v>0.25</v>
      </c>
      <c r="AW25" s="68">
        <v>0.21</v>
      </c>
      <c r="AX25" s="68">
        <v>0.54</v>
      </c>
      <c r="AY25" s="68">
        <v>0.01</v>
      </c>
      <c r="AZ25" s="68">
        <v>0.08</v>
      </c>
      <c r="BA25" s="68">
        <v>0.04</v>
      </c>
      <c r="BB25" s="68">
        <v>0.26</v>
      </c>
      <c r="BC25" s="68">
        <v>0.1</v>
      </c>
      <c r="BD25" s="68">
        <v>0.2</v>
      </c>
      <c r="BE25" s="68">
        <v>0.04</v>
      </c>
      <c r="BF25" s="68">
        <v>0.22</v>
      </c>
      <c r="BG25" s="68">
        <v>0.22</v>
      </c>
      <c r="BH25" s="68">
        <v>0.19</v>
      </c>
      <c r="BI25" s="68">
        <v>0.2</v>
      </c>
      <c r="BJ25" s="68">
        <v>7.0000000000000007E-2</v>
      </c>
      <c r="BK25" s="68">
        <v>0.26</v>
      </c>
      <c r="BL25" s="68">
        <v>0.25</v>
      </c>
    </row>
    <row r="26" spans="3:64">
      <c r="C26" s="35" t="s">
        <v>191</v>
      </c>
      <c r="E26" s="38"/>
      <c r="F26" s="38">
        <v>5.2699999999999997E-2</v>
      </c>
      <c r="G26" s="38">
        <v>7.4300000000000005E-2</v>
      </c>
      <c r="I26" s="69" t="s">
        <v>191</v>
      </c>
      <c r="J26" s="37">
        <v>0.7</v>
      </c>
      <c r="K26" s="37">
        <v>0.88</v>
      </c>
      <c r="L26" s="37">
        <v>0.56000000000000005</v>
      </c>
      <c r="M26" s="37">
        <v>0.7</v>
      </c>
      <c r="N26" s="37">
        <v>0.7</v>
      </c>
      <c r="O26" s="37">
        <v>0.42</v>
      </c>
      <c r="P26" s="37">
        <v>-0.55000000000000004</v>
      </c>
      <c r="Q26" s="37">
        <v>0.23</v>
      </c>
      <c r="R26" s="37">
        <v>0.23</v>
      </c>
      <c r="S26" s="37">
        <v>0.3</v>
      </c>
      <c r="T26" s="37">
        <v>0.3</v>
      </c>
      <c r="U26" s="37">
        <v>0.71</v>
      </c>
      <c r="V26" s="37">
        <v>0.61</v>
      </c>
      <c r="W26" s="37">
        <v>0.61</v>
      </c>
      <c r="X26" s="37">
        <v>0.59</v>
      </c>
      <c r="Y26" s="37">
        <v>0.62</v>
      </c>
      <c r="Z26" s="37">
        <v>0.64</v>
      </c>
      <c r="AA26" s="37">
        <v>0.56999999999999995</v>
      </c>
      <c r="AB26" s="37">
        <v>0.71</v>
      </c>
      <c r="AC26" s="37">
        <v>0.42</v>
      </c>
      <c r="AD26" s="68">
        <v>1</v>
      </c>
      <c r="AE26" s="68">
        <v>0.45</v>
      </c>
      <c r="AF26" s="68">
        <v>0.18</v>
      </c>
      <c r="AG26" s="68">
        <v>0.62</v>
      </c>
      <c r="AH26" s="68">
        <v>0.55000000000000004</v>
      </c>
      <c r="AI26" s="68">
        <v>0.16</v>
      </c>
      <c r="AJ26" s="68">
        <v>0.15</v>
      </c>
      <c r="AK26" s="68">
        <v>0.05</v>
      </c>
      <c r="AL26" s="68">
        <v>-0.71</v>
      </c>
      <c r="AM26" s="68">
        <v>0.7</v>
      </c>
      <c r="AN26" s="68">
        <v>0.68</v>
      </c>
      <c r="AO26" s="68">
        <v>0.66</v>
      </c>
      <c r="AP26" s="68">
        <v>0.71</v>
      </c>
      <c r="AQ26" s="68">
        <v>0.11</v>
      </c>
      <c r="AR26" s="68">
        <v>0.18</v>
      </c>
      <c r="AS26" s="68">
        <v>0.61</v>
      </c>
      <c r="AT26" s="68">
        <v>0.17</v>
      </c>
      <c r="AU26" s="68">
        <v>0.71</v>
      </c>
      <c r="AV26" s="68">
        <v>0.69</v>
      </c>
      <c r="AW26" s="68">
        <v>0.67</v>
      </c>
      <c r="AX26" s="68">
        <v>0.82</v>
      </c>
      <c r="AY26" s="68">
        <v>0.18</v>
      </c>
      <c r="AZ26" s="68">
        <v>0.22</v>
      </c>
      <c r="BA26" s="68">
        <v>0.05</v>
      </c>
      <c r="BB26" s="68">
        <v>0.7</v>
      </c>
      <c r="BC26" s="68">
        <v>0.45</v>
      </c>
      <c r="BD26" s="68">
        <v>0.2</v>
      </c>
      <c r="BE26" s="68">
        <v>0.08</v>
      </c>
      <c r="BF26" s="68">
        <v>0.66</v>
      </c>
      <c r="BG26" s="68">
        <v>0.66</v>
      </c>
      <c r="BH26" s="68">
        <v>0.63</v>
      </c>
      <c r="BI26" s="68">
        <v>0.2</v>
      </c>
      <c r="BJ26" s="68">
        <v>0.45</v>
      </c>
      <c r="BK26" s="68">
        <v>0.7</v>
      </c>
      <c r="BL26" s="68">
        <v>0.71</v>
      </c>
    </row>
    <row r="27" spans="3:64">
      <c r="C27" s="35" t="s">
        <v>123</v>
      </c>
      <c r="E27" s="38"/>
      <c r="F27" s="38">
        <v>3.5099999999999999E-2</v>
      </c>
      <c r="G27" s="38">
        <v>7.8E-2</v>
      </c>
      <c r="I27" s="69" t="s">
        <v>123</v>
      </c>
      <c r="J27" s="37">
        <v>0.61</v>
      </c>
      <c r="K27" s="37">
        <v>0.47</v>
      </c>
      <c r="L27" s="37">
        <v>0.73</v>
      </c>
      <c r="M27" s="37">
        <v>0.63</v>
      </c>
      <c r="N27" s="37">
        <v>0.63</v>
      </c>
      <c r="O27" s="37">
        <v>0.49</v>
      </c>
      <c r="P27" s="37">
        <v>-0.44</v>
      </c>
      <c r="Q27" s="37">
        <v>-0.08</v>
      </c>
      <c r="R27" s="37">
        <v>0.18</v>
      </c>
      <c r="S27" s="37">
        <v>0.4</v>
      </c>
      <c r="T27" s="37">
        <v>0.12</v>
      </c>
      <c r="U27" s="37">
        <v>0.55000000000000004</v>
      </c>
      <c r="V27" s="37">
        <v>0.47</v>
      </c>
      <c r="W27" s="37">
        <v>0.45</v>
      </c>
      <c r="X27" s="37">
        <v>0.47</v>
      </c>
      <c r="Y27" s="37">
        <v>0.47</v>
      </c>
      <c r="Z27" s="37">
        <v>0.48</v>
      </c>
      <c r="AA27" s="37">
        <v>0.45</v>
      </c>
      <c r="AB27" s="37">
        <v>0.57999999999999996</v>
      </c>
      <c r="AC27" s="37">
        <v>7.0000000000000007E-2</v>
      </c>
      <c r="AD27" s="68">
        <v>0.45</v>
      </c>
      <c r="AE27" s="68">
        <v>1</v>
      </c>
      <c r="AF27" s="68">
        <v>0.34</v>
      </c>
      <c r="AG27" s="68">
        <v>0.48</v>
      </c>
      <c r="AH27" s="68">
        <v>0.54</v>
      </c>
      <c r="AI27" s="68">
        <v>0.32</v>
      </c>
      <c r="AJ27" s="68">
        <v>0.41</v>
      </c>
      <c r="AK27" s="68">
        <v>0.04</v>
      </c>
      <c r="AL27" s="68">
        <v>-0.59</v>
      </c>
      <c r="AM27" s="68">
        <v>0.61</v>
      </c>
      <c r="AN27" s="68">
        <v>0.55000000000000004</v>
      </c>
      <c r="AO27" s="68">
        <v>0.61</v>
      </c>
      <c r="AP27" s="68">
        <v>0.59</v>
      </c>
      <c r="AQ27" s="68">
        <v>0.35</v>
      </c>
      <c r="AR27" s="68">
        <v>0.42</v>
      </c>
      <c r="AS27" s="68">
        <v>0.45</v>
      </c>
      <c r="AT27" s="68">
        <v>-0.02</v>
      </c>
      <c r="AU27" s="68">
        <v>0.63</v>
      </c>
      <c r="AV27" s="68">
        <v>0.56000000000000005</v>
      </c>
      <c r="AW27" s="68">
        <v>0.64</v>
      </c>
      <c r="AX27" s="68">
        <v>0.48</v>
      </c>
      <c r="AY27" s="68">
        <v>0.17</v>
      </c>
      <c r="AZ27" s="68">
        <v>0.17</v>
      </c>
      <c r="BA27" s="68">
        <v>-0.01</v>
      </c>
      <c r="BB27" s="68">
        <v>0.63</v>
      </c>
      <c r="BC27" s="68">
        <v>0.6</v>
      </c>
      <c r="BD27" s="68">
        <v>0.25</v>
      </c>
      <c r="BE27" s="68">
        <v>0.2</v>
      </c>
      <c r="BF27" s="68">
        <v>0.56999999999999995</v>
      </c>
      <c r="BG27" s="68">
        <v>0.54</v>
      </c>
      <c r="BH27" s="68">
        <v>0.59</v>
      </c>
      <c r="BI27" s="68">
        <v>0.25</v>
      </c>
      <c r="BJ27" s="68">
        <v>1</v>
      </c>
      <c r="BK27" s="68">
        <v>0.63</v>
      </c>
      <c r="BL27" s="68">
        <v>0.57999999999999996</v>
      </c>
    </row>
    <row r="28" spans="3:64">
      <c r="C28" s="35" t="s">
        <v>192</v>
      </c>
      <c r="E28" s="38"/>
      <c r="F28" s="38">
        <v>2.01E-2</v>
      </c>
      <c r="G28" s="38">
        <v>5.62E-2</v>
      </c>
      <c r="I28" s="69" t="s">
        <v>192</v>
      </c>
      <c r="J28" s="37">
        <v>0.18</v>
      </c>
      <c r="K28" s="37">
        <v>0.27</v>
      </c>
      <c r="L28" s="37">
        <v>0.55000000000000004</v>
      </c>
      <c r="M28" s="37">
        <v>0.28000000000000003</v>
      </c>
      <c r="N28" s="37">
        <v>0.28000000000000003</v>
      </c>
      <c r="O28" s="37">
        <v>0.16</v>
      </c>
      <c r="P28" s="37">
        <v>-7.0000000000000007E-2</v>
      </c>
      <c r="Q28" s="37">
        <v>0.21</v>
      </c>
      <c r="R28" s="37">
        <v>0.25</v>
      </c>
      <c r="S28" s="37">
        <v>0.32</v>
      </c>
      <c r="T28" s="37">
        <v>0.06</v>
      </c>
      <c r="U28" s="37">
        <v>0.17</v>
      </c>
      <c r="V28" s="37">
        <v>0.18</v>
      </c>
      <c r="W28" s="37">
        <v>0.19</v>
      </c>
      <c r="X28" s="37">
        <v>0.16</v>
      </c>
      <c r="Y28" s="37">
        <v>0.17</v>
      </c>
      <c r="Z28" s="37">
        <v>0.17</v>
      </c>
      <c r="AA28" s="37">
        <v>0.15</v>
      </c>
      <c r="AB28" s="37">
        <v>0.2</v>
      </c>
      <c r="AC28" s="37">
        <v>0.13</v>
      </c>
      <c r="AD28" s="68">
        <v>0.18</v>
      </c>
      <c r="AE28" s="68">
        <v>0.34</v>
      </c>
      <c r="AF28" s="68">
        <v>1</v>
      </c>
      <c r="AG28" s="68">
        <v>0.18</v>
      </c>
      <c r="AH28" s="68">
        <v>0.18</v>
      </c>
      <c r="AI28" s="68">
        <v>0.78</v>
      </c>
      <c r="AJ28" s="68">
        <v>0.55000000000000004</v>
      </c>
      <c r="AK28" s="68">
        <v>0.44</v>
      </c>
      <c r="AL28" s="68">
        <v>-0.23</v>
      </c>
      <c r="AM28" s="68">
        <v>0.18</v>
      </c>
      <c r="AN28" s="68">
        <v>0.17</v>
      </c>
      <c r="AO28" s="68">
        <v>0.18</v>
      </c>
      <c r="AP28" s="68">
        <v>0.24</v>
      </c>
      <c r="AQ28" s="68">
        <v>0.74</v>
      </c>
      <c r="AR28" s="68">
        <v>0.54</v>
      </c>
      <c r="AS28" s="68">
        <v>0.28999999999999998</v>
      </c>
      <c r="AT28" s="68">
        <v>0.08</v>
      </c>
      <c r="AU28" s="68">
        <v>0.17</v>
      </c>
      <c r="AV28" s="68">
        <v>0.15</v>
      </c>
      <c r="AW28" s="68">
        <v>0.18</v>
      </c>
      <c r="AX28" s="68">
        <v>0.2</v>
      </c>
      <c r="AY28" s="68">
        <v>0.06</v>
      </c>
      <c r="AZ28" s="68">
        <v>0.05</v>
      </c>
      <c r="BA28" s="68">
        <v>0</v>
      </c>
      <c r="BB28" s="68">
        <v>0.28000000000000003</v>
      </c>
      <c r="BC28" s="68">
        <v>0.21</v>
      </c>
      <c r="BD28" s="68">
        <v>0.71</v>
      </c>
      <c r="BE28" s="68">
        <v>0.23</v>
      </c>
      <c r="BF28" s="68">
        <v>0.08</v>
      </c>
      <c r="BG28" s="68">
        <v>0.08</v>
      </c>
      <c r="BH28" s="68">
        <v>0.08</v>
      </c>
      <c r="BI28" s="68">
        <v>0.71</v>
      </c>
      <c r="BJ28" s="68">
        <v>0.34</v>
      </c>
      <c r="BK28" s="68">
        <v>0.28000000000000003</v>
      </c>
      <c r="BL28" s="68">
        <v>0.2</v>
      </c>
    </row>
    <row r="29" spans="3:64">
      <c r="C29" s="35" t="s">
        <v>111</v>
      </c>
      <c r="E29" s="38"/>
      <c r="F29" s="38">
        <v>6.6799999999999998E-2</v>
      </c>
      <c r="G29" s="38">
        <v>0.1666</v>
      </c>
      <c r="I29" s="69" t="s">
        <v>111</v>
      </c>
      <c r="J29" s="37">
        <v>0.65</v>
      </c>
      <c r="K29" s="37">
        <v>0.56999999999999995</v>
      </c>
      <c r="L29" s="37">
        <v>0.53</v>
      </c>
      <c r="M29" s="37">
        <v>0.65</v>
      </c>
      <c r="N29" s="37">
        <v>0.65</v>
      </c>
      <c r="O29" s="37">
        <v>0.27</v>
      </c>
      <c r="P29" s="37">
        <v>-0.43</v>
      </c>
      <c r="Q29" s="37">
        <v>-0.01</v>
      </c>
      <c r="R29" s="37">
        <v>0.28000000000000003</v>
      </c>
      <c r="S29" s="37">
        <v>0.28999999999999998</v>
      </c>
      <c r="T29" s="37">
        <v>0.14000000000000001</v>
      </c>
      <c r="U29" s="37">
        <v>0.59</v>
      </c>
      <c r="V29" s="37">
        <v>0.99</v>
      </c>
      <c r="W29" s="37">
        <v>0.97</v>
      </c>
      <c r="X29" s="37">
        <v>0.98</v>
      </c>
      <c r="Y29" s="37">
        <v>0.97</v>
      </c>
      <c r="Z29" s="37">
        <v>0.95</v>
      </c>
      <c r="AA29" s="37">
        <v>0.95</v>
      </c>
      <c r="AB29" s="37">
        <v>0.92</v>
      </c>
      <c r="AC29" s="37">
        <v>0.22</v>
      </c>
      <c r="AD29" s="68">
        <v>0.62</v>
      </c>
      <c r="AE29" s="68">
        <v>0.48</v>
      </c>
      <c r="AF29" s="68">
        <v>0.18</v>
      </c>
      <c r="AG29" s="68">
        <v>1</v>
      </c>
      <c r="AH29" s="68">
        <v>0.68</v>
      </c>
      <c r="AI29" s="68">
        <v>0.14000000000000001</v>
      </c>
      <c r="AJ29" s="68">
        <v>0.19</v>
      </c>
      <c r="AK29" s="68">
        <v>0.31</v>
      </c>
      <c r="AL29" s="68">
        <v>-0.92</v>
      </c>
      <c r="AM29" s="68">
        <v>0.65</v>
      </c>
      <c r="AN29" s="68">
        <v>0.59</v>
      </c>
      <c r="AO29" s="68">
        <v>0.66</v>
      </c>
      <c r="AP29" s="68">
        <v>0.92</v>
      </c>
      <c r="AQ29" s="68">
        <v>0.12</v>
      </c>
      <c r="AR29" s="68">
        <v>0.22</v>
      </c>
      <c r="AS29" s="68">
        <v>0.38</v>
      </c>
      <c r="AT29" s="68">
        <v>0</v>
      </c>
      <c r="AU29" s="68">
        <v>0.65</v>
      </c>
      <c r="AV29" s="68">
        <v>0.57999999999999996</v>
      </c>
      <c r="AW29" s="68">
        <v>0.65</v>
      </c>
      <c r="AX29" s="68">
        <v>0.67</v>
      </c>
      <c r="AY29" s="68">
        <v>0.16</v>
      </c>
      <c r="AZ29" s="68">
        <v>0.23</v>
      </c>
      <c r="BA29" s="68">
        <v>0.03</v>
      </c>
      <c r="BB29" s="68">
        <v>0.65</v>
      </c>
      <c r="BC29" s="68">
        <v>0.49</v>
      </c>
      <c r="BD29" s="68">
        <v>0.13</v>
      </c>
      <c r="BE29" s="68">
        <v>0.1</v>
      </c>
      <c r="BF29" s="68">
        <v>0.59</v>
      </c>
      <c r="BG29" s="68">
        <v>0.56000000000000005</v>
      </c>
      <c r="BH29" s="68">
        <v>0.59</v>
      </c>
      <c r="BI29" s="68">
        <v>0.13</v>
      </c>
      <c r="BJ29" s="68">
        <v>0.48</v>
      </c>
      <c r="BK29" s="68">
        <v>0.65</v>
      </c>
      <c r="BL29" s="68">
        <v>0.92</v>
      </c>
    </row>
    <row r="30" spans="3:64">
      <c r="C30" s="35" t="s">
        <v>116</v>
      </c>
      <c r="E30" s="38"/>
      <c r="F30" s="38">
        <v>7.8899999999999998E-2</v>
      </c>
      <c r="G30" s="38">
        <v>0.21729999999999999</v>
      </c>
      <c r="I30" s="69" t="s">
        <v>116</v>
      </c>
      <c r="J30" s="37">
        <v>0.65</v>
      </c>
      <c r="K30" s="37">
        <v>0.51</v>
      </c>
      <c r="L30" s="37">
        <v>0.52</v>
      </c>
      <c r="M30" s="37">
        <v>0.63</v>
      </c>
      <c r="N30" s="37">
        <v>0.63</v>
      </c>
      <c r="O30" s="37">
        <v>0.27</v>
      </c>
      <c r="P30" s="37">
        <v>-0.5</v>
      </c>
      <c r="Q30" s="37">
        <v>-0.03</v>
      </c>
      <c r="R30" s="37">
        <v>0.31</v>
      </c>
      <c r="S30" s="37">
        <v>0.43</v>
      </c>
      <c r="T30" s="37">
        <v>0.14000000000000001</v>
      </c>
      <c r="U30" s="37">
        <v>0.55000000000000004</v>
      </c>
      <c r="V30" s="37">
        <v>0.68</v>
      </c>
      <c r="W30" s="37">
        <v>0.67</v>
      </c>
      <c r="X30" s="37">
        <v>0.65</v>
      </c>
      <c r="Y30" s="37">
        <v>0.67</v>
      </c>
      <c r="Z30" s="37">
        <v>0.68</v>
      </c>
      <c r="AA30" s="37">
        <v>0.63</v>
      </c>
      <c r="AB30" s="37">
        <v>0.72</v>
      </c>
      <c r="AC30" s="37">
        <v>0.21</v>
      </c>
      <c r="AD30" s="68">
        <v>0.55000000000000004</v>
      </c>
      <c r="AE30" s="68">
        <v>0.54</v>
      </c>
      <c r="AF30" s="68">
        <v>0.18</v>
      </c>
      <c r="AG30" s="68">
        <v>0.68</v>
      </c>
      <c r="AH30" s="68">
        <v>1</v>
      </c>
      <c r="AI30" s="68">
        <v>0.13</v>
      </c>
      <c r="AJ30" s="68">
        <v>0.19</v>
      </c>
      <c r="AK30" s="68">
        <v>0.1</v>
      </c>
      <c r="AL30" s="68">
        <v>-0.72</v>
      </c>
      <c r="AM30" s="68">
        <v>0.64</v>
      </c>
      <c r="AN30" s="68">
        <v>0.61</v>
      </c>
      <c r="AO30" s="68">
        <v>0.62</v>
      </c>
      <c r="AP30" s="68">
        <v>0.73</v>
      </c>
      <c r="AQ30" s="68">
        <v>0.12</v>
      </c>
      <c r="AR30" s="68">
        <v>0.21</v>
      </c>
      <c r="AS30" s="68">
        <v>0.35</v>
      </c>
      <c r="AT30" s="68">
        <v>-0.01</v>
      </c>
      <c r="AU30" s="68">
        <v>0.66</v>
      </c>
      <c r="AV30" s="68">
        <v>0.63</v>
      </c>
      <c r="AW30" s="68">
        <v>0.63</v>
      </c>
      <c r="AX30" s="68">
        <v>0.56999999999999995</v>
      </c>
      <c r="AY30" s="68">
        <v>0.14000000000000001</v>
      </c>
      <c r="AZ30" s="68">
        <v>0.2</v>
      </c>
      <c r="BA30" s="68">
        <v>0.02</v>
      </c>
      <c r="BB30" s="68">
        <v>0.63</v>
      </c>
      <c r="BC30" s="68">
        <v>0.48</v>
      </c>
      <c r="BD30" s="68">
        <v>0.11</v>
      </c>
      <c r="BE30" s="68">
        <v>0.1</v>
      </c>
      <c r="BF30" s="68">
        <v>0.64</v>
      </c>
      <c r="BG30" s="68">
        <v>0.63</v>
      </c>
      <c r="BH30" s="68">
        <v>0.62</v>
      </c>
      <c r="BI30" s="68">
        <v>0.11</v>
      </c>
      <c r="BJ30" s="68">
        <v>0.54</v>
      </c>
      <c r="BK30" s="68">
        <v>0.63</v>
      </c>
      <c r="BL30" s="68">
        <v>0.72</v>
      </c>
    </row>
    <row r="31" spans="3:64">
      <c r="C31" s="35" t="s">
        <v>119</v>
      </c>
      <c r="E31" s="38"/>
      <c r="F31" s="38">
        <v>2.1000000000000001E-2</v>
      </c>
      <c r="G31" s="38">
        <v>3.0599999999999999E-2</v>
      </c>
      <c r="I31" s="69" t="s">
        <v>119</v>
      </c>
      <c r="J31" s="37">
        <v>0.15</v>
      </c>
      <c r="K31" s="37">
        <v>0.26</v>
      </c>
      <c r="L31" s="37">
        <v>0.54</v>
      </c>
      <c r="M31" s="37">
        <v>0.28999999999999998</v>
      </c>
      <c r="N31" s="37">
        <v>0.28999999999999998</v>
      </c>
      <c r="O31" s="37">
        <v>0.09</v>
      </c>
      <c r="P31" s="37">
        <v>-0.04</v>
      </c>
      <c r="Q31" s="37">
        <v>0.33</v>
      </c>
      <c r="R31" s="37">
        <v>0.08</v>
      </c>
      <c r="S31" s="37">
        <v>0.35</v>
      </c>
      <c r="T31" s="37">
        <v>0.08</v>
      </c>
      <c r="U31" s="37">
        <v>0.15</v>
      </c>
      <c r="V31" s="37">
        <v>0.14000000000000001</v>
      </c>
      <c r="W31" s="37">
        <v>0.16</v>
      </c>
      <c r="X31" s="37">
        <v>0.11</v>
      </c>
      <c r="Y31" s="37">
        <v>0.13</v>
      </c>
      <c r="Z31" s="37">
        <v>0.14000000000000001</v>
      </c>
      <c r="AA31" s="37">
        <v>0.1</v>
      </c>
      <c r="AB31" s="37">
        <v>0.16</v>
      </c>
      <c r="AC31" s="37">
        <v>0.15</v>
      </c>
      <c r="AD31" s="68">
        <v>0.16</v>
      </c>
      <c r="AE31" s="68">
        <v>0.32</v>
      </c>
      <c r="AF31" s="68">
        <v>0.78</v>
      </c>
      <c r="AG31" s="68">
        <v>0.14000000000000001</v>
      </c>
      <c r="AH31" s="68">
        <v>0.13</v>
      </c>
      <c r="AI31" s="68">
        <v>1</v>
      </c>
      <c r="AJ31" s="68">
        <v>0.67</v>
      </c>
      <c r="AK31" s="68">
        <v>0.55000000000000004</v>
      </c>
      <c r="AL31" s="68">
        <v>-0.2</v>
      </c>
      <c r="AM31" s="68">
        <v>0.16</v>
      </c>
      <c r="AN31" s="68">
        <v>0.15</v>
      </c>
      <c r="AO31" s="68">
        <v>0.16</v>
      </c>
      <c r="AP31" s="68">
        <v>0.19</v>
      </c>
      <c r="AQ31" s="68">
        <v>0.88</v>
      </c>
      <c r="AR31" s="68">
        <v>0.66</v>
      </c>
      <c r="AS31" s="68">
        <v>0.3</v>
      </c>
      <c r="AT31" s="68">
        <v>0.1</v>
      </c>
      <c r="AU31" s="68">
        <v>0.15</v>
      </c>
      <c r="AV31" s="68">
        <v>0.13</v>
      </c>
      <c r="AW31" s="68">
        <v>0.15</v>
      </c>
      <c r="AX31" s="68">
        <v>0.17</v>
      </c>
      <c r="AY31" s="68">
        <v>0.05</v>
      </c>
      <c r="AZ31" s="68">
        <v>0.04</v>
      </c>
      <c r="BA31" s="68">
        <v>0.02</v>
      </c>
      <c r="BB31" s="68">
        <v>0.28999999999999998</v>
      </c>
      <c r="BC31" s="68">
        <v>0.18</v>
      </c>
      <c r="BD31" s="68">
        <v>0.94</v>
      </c>
      <c r="BE31" s="68">
        <v>0.32</v>
      </c>
      <c r="BF31" s="68">
        <v>0.04</v>
      </c>
      <c r="BG31" s="68">
        <v>0.04</v>
      </c>
      <c r="BH31" s="68">
        <v>0.03</v>
      </c>
      <c r="BI31" s="68">
        <v>0.94</v>
      </c>
      <c r="BJ31" s="68">
        <v>0.32</v>
      </c>
      <c r="BK31" s="68">
        <v>0.28999999999999998</v>
      </c>
      <c r="BL31" s="68">
        <v>0.16</v>
      </c>
    </row>
    <row r="32" spans="3:64">
      <c r="C32" s="35" t="s">
        <v>193</v>
      </c>
      <c r="E32" s="38"/>
      <c r="F32" s="38">
        <v>1.32E-2</v>
      </c>
      <c r="G32" s="38">
        <v>3.4599999999999999E-2</v>
      </c>
      <c r="I32" s="69" t="s">
        <v>193</v>
      </c>
      <c r="J32" s="37">
        <v>0.21</v>
      </c>
      <c r="K32" s="37">
        <v>0.21</v>
      </c>
      <c r="L32" s="37">
        <v>0.49</v>
      </c>
      <c r="M32" s="37">
        <v>0.28999999999999998</v>
      </c>
      <c r="N32" s="37">
        <v>0.28999999999999998</v>
      </c>
      <c r="O32" s="37">
        <v>0.16</v>
      </c>
      <c r="P32" s="37">
        <v>-0.1</v>
      </c>
      <c r="Q32" s="37">
        <v>0.02</v>
      </c>
      <c r="R32" s="37">
        <v>-0.04</v>
      </c>
      <c r="S32" s="37">
        <v>0.33</v>
      </c>
      <c r="T32" s="37">
        <v>0.03</v>
      </c>
      <c r="U32" s="37">
        <v>0.19</v>
      </c>
      <c r="V32" s="37">
        <v>0.19</v>
      </c>
      <c r="W32" s="37">
        <v>0.2</v>
      </c>
      <c r="X32" s="37">
        <v>0.17</v>
      </c>
      <c r="Y32" s="37">
        <v>0.18</v>
      </c>
      <c r="Z32" s="37">
        <v>0.19</v>
      </c>
      <c r="AA32" s="37">
        <v>0.16</v>
      </c>
      <c r="AB32" s="37">
        <v>0.22</v>
      </c>
      <c r="AC32" s="37">
        <v>0.06</v>
      </c>
      <c r="AD32" s="68">
        <v>0.15</v>
      </c>
      <c r="AE32" s="68">
        <v>0.41</v>
      </c>
      <c r="AF32" s="68">
        <v>0.55000000000000004</v>
      </c>
      <c r="AG32" s="68">
        <v>0.19</v>
      </c>
      <c r="AH32" s="68">
        <v>0.19</v>
      </c>
      <c r="AI32" s="68">
        <v>0.67</v>
      </c>
      <c r="AJ32" s="68">
        <v>1</v>
      </c>
      <c r="AK32" s="68">
        <v>0.3</v>
      </c>
      <c r="AL32" s="68">
        <v>-0.25</v>
      </c>
      <c r="AM32" s="68">
        <v>0.21</v>
      </c>
      <c r="AN32" s="68">
        <v>0.2</v>
      </c>
      <c r="AO32" s="68">
        <v>0.21</v>
      </c>
      <c r="AP32" s="68">
        <v>0.22</v>
      </c>
      <c r="AQ32" s="68">
        <v>0.66</v>
      </c>
      <c r="AR32" s="68">
        <v>0.91</v>
      </c>
      <c r="AS32" s="68">
        <v>0.23</v>
      </c>
      <c r="AT32" s="68">
        <v>0</v>
      </c>
      <c r="AU32" s="68">
        <v>0.21</v>
      </c>
      <c r="AV32" s="68">
        <v>0.18</v>
      </c>
      <c r="AW32" s="68">
        <v>0.21</v>
      </c>
      <c r="AX32" s="68">
        <v>0.2</v>
      </c>
      <c r="AY32" s="68">
        <v>0.06</v>
      </c>
      <c r="AZ32" s="68">
        <v>0.06</v>
      </c>
      <c r="BA32" s="68">
        <v>-0.03</v>
      </c>
      <c r="BB32" s="68">
        <v>0.28999999999999998</v>
      </c>
      <c r="BC32" s="68">
        <v>0.22</v>
      </c>
      <c r="BD32" s="68">
        <v>0.57999999999999996</v>
      </c>
      <c r="BE32" s="68">
        <v>0.68</v>
      </c>
      <c r="BF32" s="68">
        <v>0.12</v>
      </c>
      <c r="BG32" s="68">
        <v>0.12</v>
      </c>
      <c r="BH32" s="68">
        <v>0.13</v>
      </c>
      <c r="BI32" s="68">
        <v>0.57999999999999996</v>
      </c>
      <c r="BJ32" s="68">
        <v>0.41</v>
      </c>
      <c r="BK32" s="68">
        <v>0.28999999999999998</v>
      </c>
      <c r="BL32" s="68">
        <v>0.22</v>
      </c>
    </row>
    <row r="33" spans="3:64">
      <c r="C33" s="35" t="s">
        <v>194</v>
      </c>
      <c r="E33" s="38"/>
      <c r="F33" s="38">
        <v>1.7999999999999999E-2</v>
      </c>
      <c r="G33" s="38">
        <v>8.0299999999999996E-2</v>
      </c>
      <c r="I33" s="69" t="s">
        <v>194</v>
      </c>
      <c r="J33" s="37">
        <v>-0.08</v>
      </c>
      <c r="K33" s="37">
        <v>0.1</v>
      </c>
      <c r="L33" s="37">
        <v>0.24</v>
      </c>
      <c r="M33" s="37">
        <v>0</v>
      </c>
      <c r="N33" s="37">
        <v>0</v>
      </c>
      <c r="O33" s="37">
        <v>-0.01</v>
      </c>
      <c r="P33" s="37">
        <v>0.13</v>
      </c>
      <c r="Q33" s="37">
        <v>0.28000000000000003</v>
      </c>
      <c r="R33" s="37">
        <v>0.19</v>
      </c>
      <c r="S33" s="37">
        <v>7.0000000000000007E-2</v>
      </c>
      <c r="T33" s="37">
        <v>0.03</v>
      </c>
      <c r="U33" s="37">
        <v>-0.02</v>
      </c>
      <c r="V33" s="37">
        <v>0.31</v>
      </c>
      <c r="W33" s="37">
        <v>0.31</v>
      </c>
      <c r="X33" s="37">
        <v>0.3</v>
      </c>
      <c r="Y33" s="37">
        <v>0.28999999999999998</v>
      </c>
      <c r="Z33" s="37">
        <v>0.27</v>
      </c>
      <c r="AA33" s="37">
        <v>0.3</v>
      </c>
      <c r="AB33" s="37">
        <v>0.15</v>
      </c>
      <c r="AC33" s="37">
        <v>0.08</v>
      </c>
      <c r="AD33" s="68">
        <v>0.05</v>
      </c>
      <c r="AE33" s="68">
        <v>0.04</v>
      </c>
      <c r="AF33" s="68">
        <v>0.44</v>
      </c>
      <c r="AG33" s="68">
        <v>0.31</v>
      </c>
      <c r="AH33" s="68">
        <v>0.1</v>
      </c>
      <c r="AI33" s="68">
        <v>0.55000000000000004</v>
      </c>
      <c r="AJ33" s="68">
        <v>0.3</v>
      </c>
      <c r="AK33" s="68">
        <v>1</v>
      </c>
      <c r="AL33" s="68">
        <v>-0.17</v>
      </c>
      <c r="AM33" s="68">
        <v>-0.08</v>
      </c>
      <c r="AN33" s="68">
        <v>-0.09</v>
      </c>
      <c r="AO33" s="68">
        <v>-0.05</v>
      </c>
      <c r="AP33" s="68">
        <v>0.17</v>
      </c>
      <c r="AQ33" s="68">
        <v>0.43</v>
      </c>
      <c r="AR33" s="68">
        <v>0.28999999999999998</v>
      </c>
      <c r="AS33" s="68">
        <v>0.13</v>
      </c>
      <c r="AT33" s="68">
        <v>0.08</v>
      </c>
      <c r="AU33" s="68">
        <v>-0.08</v>
      </c>
      <c r="AV33" s="68">
        <v>-0.1</v>
      </c>
      <c r="AW33" s="68">
        <v>-0.06</v>
      </c>
      <c r="AX33" s="68">
        <v>0.06</v>
      </c>
      <c r="AY33" s="68">
        <v>0.02</v>
      </c>
      <c r="AZ33" s="68">
        <v>0.02</v>
      </c>
      <c r="BA33" s="68">
        <v>0.03</v>
      </c>
      <c r="BB33" s="68">
        <v>0</v>
      </c>
      <c r="BC33" s="68">
        <v>0.02</v>
      </c>
      <c r="BD33" s="68">
        <v>0.55000000000000004</v>
      </c>
      <c r="BE33" s="68">
        <v>0.15</v>
      </c>
      <c r="BF33" s="68">
        <v>-0.13</v>
      </c>
      <c r="BG33" s="68">
        <v>-0.13</v>
      </c>
      <c r="BH33" s="68">
        <v>-0.12</v>
      </c>
      <c r="BI33" s="68">
        <v>0.55000000000000004</v>
      </c>
      <c r="BJ33" s="68">
        <v>0.04</v>
      </c>
      <c r="BK33" s="68">
        <v>0</v>
      </c>
      <c r="BL33" s="68">
        <v>0.15</v>
      </c>
    </row>
    <row r="34" spans="3:64">
      <c r="C34" s="35" t="s">
        <v>195</v>
      </c>
      <c r="E34" s="38"/>
      <c r="F34" s="38" t="s">
        <v>218</v>
      </c>
      <c r="G34" s="38">
        <v>0.21149999999999999</v>
      </c>
      <c r="I34" s="69" t="s">
        <v>195</v>
      </c>
      <c r="J34" s="37">
        <v>-0.88</v>
      </c>
      <c r="K34" s="37">
        <v>-0.65</v>
      </c>
      <c r="L34" s="37">
        <v>-0.57999999999999996</v>
      </c>
      <c r="M34" s="37">
        <v>-0.88</v>
      </c>
      <c r="N34" s="37">
        <v>-0.88</v>
      </c>
      <c r="O34" s="37">
        <v>-0.31</v>
      </c>
      <c r="P34" s="37">
        <v>0.6</v>
      </c>
      <c r="Q34" s="37">
        <v>0.01</v>
      </c>
      <c r="R34" s="37">
        <v>-0.26</v>
      </c>
      <c r="S34" s="37">
        <v>-0.36</v>
      </c>
      <c r="T34" s="37">
        <v>-0.17</v>
      </c>
      <c r="U34" s="37">
        <v>-0.66</v>
      </c>
      <c r="V34" s="37">
        <v>-0.92</v>
      </c>
      <c r="W34" s="37">
        <v>-0.9</v>
      </c>
      <c r="X34" s="37">
        <v>-0.89</v>
      </c>
      <c r="Y34" s="37">
        <v>-0.89</v>
      </c>
      <c r="Z34" s="37">
        <v>-0.89</v>
      </c>
      <c r="AA34" s="37">
        <v>-0.84</v>
      </c>
      <c r="AB34" s="37">
        <v>-0.99</v>
      </c>
      <c r="AC34" s="37">
        <v>-0.26</v>
      </c>
      <c r="AD34" s="68">
        <v>-0.71</v>
      </c>
      <c r="AE34" s="68">
        <v>-0.59</v>
      </c>
      <c r="AF34" s="68">
        <v>-0.23</v>
      </c>
      <c r="AG34" s="68">
        <v>-0.92</v>
      </c>
      <c r="AH34" s="68">
        <v>-0.72</v>
      </c>
      <c r="AI34" s="68">
        <v>-0.2</v>
      </c>
      <c r="AJ34" s="68">
        <v>-0.25</v>
      </c>
      <c r="AK34" s="68">
        <v>-0.17</v>
      </c>
      <c r="AL34" s="68">
        <v>1</v>
      </c>
      <c r="AM34" s="68">
        <v>-0.88</v>
      </c>
      <c r="AN34" s="68">
        <v>-0.83</v>
      </c>
      <c r="AO34" s="68">
        <v>-0.87</v>
      </c>
      <c r="AP34" s="68">
        <v>-0.99</v>
      </c>
      <c r="AQ34" s="68">
        <v>-0.2</v>
      </c>
      <c r="AR34" s="68">
        <v>-0.28999999999999998</v>
      </c>
      <c r="AS34" s="68">
        <v>-0.43</v>
      </c>
      <c r="AT34" s="68">
        <v>0</v>
      </c>
      <c r="AU34" s="68">
        <v>-0.85</v>
      </c>
      <c r="AV34" s="68">
        <v>-0.79</v>
      </c>
      <c r="AW34" s="68">
        <v>-0.84</v>
      </c>
      <c r="AX34" s="68">
        <v>-0.71</v>
      </c>
      <c r="AY34" s="68">
        <v>-0.18</v>
      </c>
      <c r="AZ34" s="68">
        <v>-0.26</v>
      </c>
      <c r="BA34" s="68">
        <v>-0.04</v>
      </c>
      <c r="BB34" s="68">
        <v>-0.88</v>
      </c>
      <c r="BC34" s="68">
        <v>-0.59</v>
      </c>
      <c r="BD34" s="68">
        <v>-0.18</v>
      </c>
      <c r="BE34" s="68">
        <v>-0.13</v>
      </c>
      <c r="BF34" s="68">
        <v>-0.76</v>
      </c>
      <c r="BG34" s="68">
        <v>-0.73</v>
      </c>
      <c r="BH34" s="68">
        <v>-0.75</v>
      </c>
      <c r="BI34" s="68">
        <v>-0.18</v>
      </c>
      <c r="BJ34" s="68">
        <v>-0.59</v>
      </c>
      <c r="BK34" s="68">
        <v>-0.88</v>
      </c>
      <c r="BL34" s="68">
        <v>-1</v>
      </c>
    </row>
    <row r="35" spans="3:64">
      <c r="C35" s="35" t="s">
        <v>196</v>
      </c>
      <c r="E35" s="38"/>
      <c r="F35" s="38">
        <v>5.8099999999999999E-2</v>
      </c>
      <c r="G35" s="38">
        <v>0.1525</v>
      </c>
      <c r="I35" s="69" t="s">
        <v>196</v>
      </c>
      <c r="J35" s="37">
        <v>0.99</v>
      </c>
      <c r="K35" s="37">
        <v>0.63</v>
      </c>
      <c r="L35" s="37">
        <v>0.51</v>
      </c>
      <c r="M35" s="37">
        <v>0.99</v>
      </c>
      <c r="N35" s="37">
        <v>0.99</v>
      </c>
      <c r="O35" s="37">
        <v>0.3</v>
      </c>
      <c r="P35" s="37">
        <v>-0.72</v>
      </c>
      <c r="Q35" s="37">
        <v>-0.03</v>
      </c>
      <c r="R35" s="37">
        <v>0.19</v>
      </c>
      <c r="S35" s="37">
        <v>0.35</v>
      </c>
      <c r="T35" s="37">
        <v>0.19</v>
      </c>
      <c r="U35" s="37">
        <v>0.63</v>
      </c>
      <c r="V35" s="37">
        <v>0.64</v>
      </c>
      <c r="W35" s="37">
        <v>0.64</v>
      </c>
      <c r="X35" s="37">
        <v>0.62</v>
      </c>
      <c r="Y35" s="37">
        <v>0.62</v>
      </c>
      <c r="Z35" s="37">
        <v>0.66</v>
      </c>
      <c r="AA35" s="37">
        <v>0.56000000000000005</v>
      </c>
      <c r="AB35" s="37">
        <v>0.88</v>
      </c>
      <c r="AC35" s="37">
        <v>0.24</v>
      </c>
      <c r="AD35" s="68">
        <v>0.7</v>
      </c>
      <c r="AE35" s="68">
        <v>0.61</v>
      </c>
      <c r="AF35" s="68">
        <v>0.18</v>
      </c>
      <c r="AG35" s="68">
        <v>0.65</v>
      </c>
      <c r="AH35" s="68">
        <v>0.64</v>
      </c>
      <c r="AI35" s="68">
        <v>0.16</v>
      </c>
      <c r="AJ35" s="68">
        <v>0.21</v>
      </c>
      <c r="AK35" s="68">
        <v>-0.08</v>
      </c>
      <c r="AL35" s="68">
        <v>-0.88</v>
      </c>
      <c r="AM35" s="68">
        <v>1</v>
      </c>
      <c r="AN35" s="68">
        <v>0.97</v>
      </c>
      <c r="AO35" s="68">
        <v>0.95</v>
      </c>
      <c r="AP35" s="68">
        <v>0.88</v>
      </c>
      <c r="AQ35" s="68">
        <v>0.17</v>
      </c>
      <c r="AR35" s="68">
        <v>0.26</v>
      </c>
      <c r="AS35" s="68">
        <v>0.4</v>
      </c>
      <c r="AT35" s="68">
        <v>-0.01</v>
      </c>
      <c r="AU35" s="68">
        <v>0.96</v>
      </c>
      <c r="AV35" s="68">
        <v>0.91</v>
      </c>
      <c r="AW35" s="68">
        <v>0.92</v>
      </c>
      <c r="AX35" s="68">
        <v>0.64</v>
      </c>
      <c r="AY35" s="68">
        <v>0.16</v>
      </c>
      <c r="AZ35" s="68">
        <v>0.26</v>
      </c>
      <c r="BA35" s="68">
        <v>0.04</v>
      </c>
      <c r="BB35" s="68">
        <v>0.99</v>
      </c>
      <c r="BC35" s="68">
        <v>0.61</v>
      </c>
      <c r="BD35" s="68">
        <v>0.13</v>
      </c>
      <c r="BE35" s="68">
        <v>0.11</v>
      </c>
      <c r="BF35" s="68">
        <v>0.86</v>
      </c>
      <c r="BG35" s="68">
        <v>0.84</v>
      </c>
      <c r="BH35" s="68">
        <v>0.83</v>
      </c>
      <c r="BI35" s="68">
        <v>0.13</v>
      </c>
      <c r="BJ35" s="68">
        <v>0.61</v>
      </c>
      <c r="BK35" s="68">
        <v>0.99</v>
      </c>
      <c r="BL35" s="68">
        <v>0.88</v>
      </c>
    </row>
    <row r="36" spans="3:64">
      <c r="C36" s="35" t="s">
        <v>197</v>
      </c>
      <c r="E36" s="38"/>
      <c r="F36" s="38">
        <v>5.7000000000000002E-2</v>
      </c>
      <c r="G36" s="38">
        <v>0.16700000000000001</v>
      </c>
      <c r="I36" s="69" t="s">
        <v>197</v>
      </c>
      <c r="J36" s="37">
        <v>0.96</v>
      </c>
      <c r="K36" s="37">
        <v>0.61</v>
      </c>
      <c r="L36" s="37">
        <v>0.43</v>
      </c>
      <c r="M36" s="37">
        <v>0.96</v>
      </c>
      <c r="N36" s="37">
        <v>0.96</v>
      </c>
      <c r="O36" s="37">
        <v>0.27</v>
      </c>
      <c r="P36" s="37">
        <v>-0.75</v>
      </c>
      <c r="Q36" s="37">
        <v>-0.03</v>
      </c>
      <c r="R36" s="37">
        <v>0.17</v>
      </c>
      <c r="S36" s="37">
        <v>0.33</v>
      </c>
      <c r="T36" s="37">
        <v>0.17</v>
      </c>
      <c r="U36" s="37">
        <v>0.6</v>
      </c>
      <c r="V36" s="37">
        <v>0.59</v>
      </c>
      <c r="W36" s="37">
        <v>0.61</v>
      </c>
      <c r="X36" s="37">
        <v>0.54</v>
      </c>
      <c r="Y36" s="37">
        <v>0.56999999999999995</v>
      </c>
      <c r="Z36" s="37">
        <v>0.64</v>
      </c>
      <c r="AA36" s="37">
        <v>0.48</v>
      </c>
      <c r="AB36" s="37">
        <v>0.83</v>
      </c>
      <c r="AC36" s="37">
        <v>0.25</v>
      </c>
      <c r="AD36" s="68">
        <v>0.68</v>
      </c>
      <c r="AE36" s="68">
        <v>0.55000000000000004</v>
      </c>
      <c r="AF36" s="68">
        <v>0.17</v>
      </c>
      <c r="AG36" s="68">
        <v>0.59</v>
      </c>
      <c r="AH36" s="68">
        <v>0.61</v>
      </c>
      <c r="AI36" s="68">
        <v>0.15</v>
      </c>
      <c r="AJ36" s="68">
        <v>0.2</v>
      </c>
      <c r="AK36" s="68">
        <v>-0.09</v>
      </c>
      <c r="AL36" s="68">
        <v>-0.83</v>
      </c>
      <c r="AM36" s="68">
        <v>0.97</v>
      </c>
      <c r="AN36" s="68">
        <v>1</v>
      </c>
      <c r="AO36" s="68">
        <v>0.84</v>
      </c>
      <c r="AP36" s="68">
        <v>0.82</v>
      </c>
      <c r="AQ36" s="68">
        <v>0.16</v>
      </c>
      <c r="AR36" s="68">
        <v>0.25</v>
      </c>
      <c r="AS36" s="68">
        <v>0.36</v>
      </c>
      <c r="AT36" s="68">
        <v>-0.01</v>
      </c>
      <c r="AU36" s="68">
        <v>0.91</v>
      </c>
      <c r="AV36" s="68">
        <v>0.94</v>
      </c>
      <c r="AW36" s="68">
        <v>0.82</v>
      </c>
      <c r="AX36" s="68">
        <v>0.62</v>
      </c>
      <c r="AY36" s="68">
        <v>0.14000000000000001</v>
      </c>
      <c r="AZ36" s="68">
        <v>0.24</v>
      </c>
      <c r="BA36" s="68">
        <v>0.04</v>
      </c>
      <c r="BB36" s="68">
        <v>0.96</v>
      </c>
      <c r="BC36" s="68">
        <v>0.51</v>
      </c>
      <c r="BD36" s="68">
        <v>0.13</v>
      </c>
      <c r="BE36" s="68">
        <v>0.1</v>
      </c>
      <c r="BF36" s="68">
        <v>0.82</v>
      </c>
      <c r="BG36" s="68">
        <v>0.85</v>
      </c>
      <c r="BH36" s="68">
        <v>0.74</v>
      </c>
      <c r="BI36" s="68">
        <v>0.13</v>
      </c>
      <c r="BJ36" s="68">
        <v>0.55000000000000004</v>
      </c>
      <c r="BK36" s="68">
        <v>0.96</v>
      </c>
      <c r="BL36" s="68">
        <v>0.83</v>
      </c>
    </row>
    <row r="37" spans="3:64">
      <c r="C37" s="35" t="s">
        <v>198</v>
      </c>
      <c r="E37" s="38"/>
      <c r="F37" s="38">
        <v>5.9299999999999999E-2</v>
      </c>
      <c r="G37" s="38">
        <v>0.1512</v>
      </c>
      <c r="I37" s="69" t="s">
        <v>198</v>
      </c>
      <c r="J37" s="37">
        <v>0.95</v>
      </c>
      <c r="K37" s="37">
        <v>0.59</v>
      </c>
      <c r="L37" s="37">
        <v>0.56000000000000005</v>
      </c>
      <c r="M37" s="37">
        <v>0.95</v>
      </c>
      <c r="N37" s="37">
        <v>0.95</v>
      </c>
      <c r="O37" s="37">
        <v>0.31</v>
      </c>
      <c r="P37" s="37">
        <v>-0.62</v>
      </c>
      <c r="Q37" s="37">
        <v>-0.02</v>
      </c>
      <c r="R37" s="37">
        <v>0.19</v>
      </c>
      <c r="S37" s="37">
        <v>0.34</v>
      </c>
      <c r="T37" s="37">
        <v>0.2</v>
      </c>
      <c r="U37" s="37">
        <v>0.61</v>
      </c>
      <c r="V37" s="37">
        <v>0.65</v>
      </c>
      <c r="W37" s="37">
        <v>0.61</v>
      </c>
      <c r="X37" s="37">
        <v>0.66</v>
      </c>
      <c r="Y37" s="37">
        <v>0.62</v>
      </c>
      <c r="Z37" s="37">
        <v>0.62</v>
      </c>
      <c r="AA37" s="37">
        <v>0.6</v>
      </c>
      <c r="AB37" s="37">
        <v>0.87</v>
      </c>
      <c r="AC37" s="37">
        <v>0.22</v>
      </c>
      <c r="AD37" s="68">
        <v>0.66</v>
      </c>
      <c r="AE37" s="68">
        <v>0.61</v>
      </c>
      <c r="AF37" s="68">
        <v>0.18</v>
      </c>
      <c r="AG37" s="68">
        <v>0.66</v>
      </c>
      <c r="AH37" s="68">
        <v>0.62</v>
      </c>
      <c r="AI37" s="68">
        <v>0.16</v>
      </c>
      <c r="AJ37" s="68">
        <v>0.21</v>
      </c>
      <c r="AK37" s="68">
        <v>-0.05</v>
      </c>
      <c r="AL37" s="68">
        <v>-0.87</v>
      </c>
      <c r="AM37" s="68">
        <v>0.95</v>
      </c>
      <c r="AN37" s="68">
        <v>0.84</v>
      </c>
      <c r="AO37" s="68">
        <v>1</v>
      </c>
      <c r="AP37" s="68">
        <v>0.86</v>
      </c>
      <c r="AQ37" s="68">
        <v>0.17</v>
      </c>
      <c r="AR37" s="68">
        <v>0.26</v>
      </c>
      <c r="AS37" s="68">
        <v>0.41</v>
      </c>
      <c r="AT37" s="68">
        <v>-0.01</v>
      </c>
      <c r="AU37" s="68">
        <v>0.92</v>
      </c>
      <c r="AV37" s="68">
        <v>0.79</v>
      </c>
      <c r="AW37" s="68">
        <v>0.96</v>
      </c>
      <c r="AX37" s="68">
        <v>0.6</v>
      </c>
      <c r="AY37" s="68">
        <v>0.16</v>
      </c>
      <c r="AZ37" s="68">
        <v>0.24</v>
      </c>
      <c r="BA37" s="68">
        <v>0.04</v>
      </c>
      <c r="BB37" s="68">
        <v>0.95</v>
      </c>
      <c r="BC37" s="68">
        <v>0.67</v>
      </c>
      <c r="BD37" s="68">
        <v>0.13</v>
      </c>
      <c r="BE37" s="68">
        <v>0.11</v>
      </c>
      <c r="BF37" s="68">
        <v>0.81</v>
      </c>
      <c r="BG37" s="68">
        <v>0.75</v>
      </c>
      <c r="BH37" s="68">
        <v>0.86</v>
      </c>
      <c r="BI37" s="68">
        <v>0.13</v>
      </c>
      <c r="BJ37" s="68">
        <v>0.61</v>
      </c>
      <c r="BK37" s="68">
        <v>0.95</v>
      </c>
      <c r="BL37" s="68">
        <v>0.87</v>
      </c>
    </row>
    <row r="38" spans="3:64">
      <c r="C38" s="35" t="s">
        <v>199</v>
      </c>
      <c r="E38" s="38"/>
      <c r="F38" s="38" t="s">
        <v>218</v>
      </c>
      <c r="G38" s="38">
        <v>0.28710000000000002</v>
      </c>
      <c r="I38" s="69" t="s">
        <v>199</v>
      </c>
      <c r="J38" s="37">
        <v>0.88</v>
      </c>
      <c r="K38" s="37">
        <v>0.66</v>
      </c>
      <c r="L38" s="37">
        <v>0.57999999999999996</v>
      </c>
      <c r="M38" s="37">
        <v>0.87</v>
      </c>
      <c r="N38" s="37">
        <v>0.87</v>
      </c>
      <c r="O38" s="37">
        <v>0.31</v>
      </c>
      <c r="P38" s="37">
        <v>-0.6</v>
      </c>
      <c r="Q38" s="37">
        <v>-0.01</v>
      </c>
      <c r="R38" s="37">
        <v>0.35</v>
      </c>
      <c r="S38" s="37">
        <v>0.36</v>
      </c>
      <c r="T38" s="37">
        <v>0.17</v>
      </c>
      <c r="U38" s="37">
        <v>0.66</v>
      </c>
      <c r="V38" s="37">
        <v>0.92</v>
      </c>
      <c r="W38" s="37">
        <v>0.9</v>
      </c>
      <c r="X38" s="37">
        <v>0.9</v>
      </c>
      <c r="Y38" s="37">
        <v>0.89</v>
      </c>
      <c r="Z38" s="37">
        <v>0.89</v>
      </c>
      <c r="AA38" s="37">
        <v>0.84</v>
      </c>
      <c r="AB38" s="37">
        <v>0.99</v>
      </c>
      <c r="AC38" s="37">
        <v>0.26</v>
      </c>
      <c r="AD38" s="68">
        <v>0.71</v>
      </c>
      <c r="AE38" s="68">
        <v>0.59</v>
      </c>
      <c r="AF38" s="68">
        <v>0.24</v>
      </c>
      <c r="AG38" s="68">
        <v>0.92</v>
      </c>
      <c r="AH38" s="68">
        <v>0.73</v>
      </c>
      <c r="AI38" s="68">
        <v>0.19</v>
      </c>
      <c r="AJ38" s="68">
        <v>0.22</v>
      </c>
      <c r="AK38" s="68">
        <v>0.17</v>
      </c>
      <c r="AL38" s="68">
        <v>-0.99</v>
      </c>
      <c r="AM38" s="68">
        <v>0.88</v>
      </c>
      <c r="AN38" s="68">
        <v>0.82</v>
      </c>
      <c r="AO38" s="68">
        <v>0.86</v>
      </c>
      <c r="AP38" s="68">
        <v>1</v>
      </c>
      <c r="AQ38" s="68">
        <v>0.17</v>
      </c>
      <c r="AR38" s="68">
        <v>0.27</v>
      </c>
      <c r="AS38" s="68">
        <v>0.43</v>
      </c>
      <c r="AT38" s="68">
        <v>0.01</v>
      </c>
      <c r="AU38" s="68">
        <v>0.85</v>
      </c>
      <c r="AV38" s="68">
        <v>0.78</v>
      </c>
      <c r="AW38" s="68">
        <v>0.83</v>
      </c>
      <c r="AX38" s="68">
        <v>0.72</v>
      </c>
      <c r="AY38" s="68">
        <v>0.18</v>
      </c>
      <c r="AZ38" s="68">
        <v>0.26</v>
      </c>
      <c r="BA38" s="68">
        <v>0.04</v>
      </c>
      <c r="BB38" s="68">
        <v>0.87</v>
      </c>
      <c r="BC38" s="68">
        <v>0.57999999999999996</v>
      </c>
      <c r="BD38" s="68">
        <v>0.17</v>
      </c>
      <c r="BE38" s="68">
        <v>0.11</v>
      </c>
      <c r="BF38" s="68">
        <v>0.75</v>
      </c>
      <c r="BG38" s="68">
        <v>0.73</v>
      </c>
      <c r="BH38" s="68">
        <v>0.74</v>
      </c>
      <c r="BI38" s="68">
        <v>0.17</v>
      </c>
      <c r="BJ38" s="68">
        <v>0.59</v>
      </c>
      <c r="BK38" s="68">
        <v>0.87</v>
      </c>
      <c r="BL38" s="68">
        <v>1</v>
      </c>
    </row>
    <row r="39" spans="3:64">
      <c r="C39" s="35" t="s">
        <v>200</v>
      </c>
      <c r="E39" s="38"/>
      <c r="F39" s="38">
        <v>2.4299999999999999E-2</v>
      </c>
      <c r="G39" s="38">
        <v>9.4500000000000001E-2</v>
      </c>
      <c r="I39" s="69" t="s">
        <v>200</v>
      </c>
      <c r="J39" s="37">
        <v>0.16</v>
      </c>
      <c r="K39" s="37">
        <v>0.2</v>
      </c>
      <c r="L39" s="37">
        <v>0.49</v>
      </c>
      <c r="M39" s="37">
        <v>0.28000000000000003</v>
      </c>
      <c r="N39" s="37">
        <v>0.28000000000000003</v>
      </c>
      <c r="O39" s="37">
        <v>0.1</v>
      </c>
      <c r="P39" s="37">
        <v>-0.04</v>
      </c>
      <c r="Q39" s="37">
        <v>0.14000000000000001</v>
      </c>
      <c r="R39" s="37">
        <v>-0.02</v>
      </c>
      <c r="S39" s="37">
        <v>0.34</v>
      </c>
      <c r="T39" s="37">
        <v>0.04</v>
      </c>
      <c r="U39" s="37">
        <v>0.12</v>
      </c>
      <c r="V39" s="37">
        <v>0.12</v>
      </c>
      <c r="W39" s="37">
        <v>0.14000000000000001</v>
      </c>
      <c r="X39" s="37">
        <v>0.09</v>
      </c>
      <c r="Y39" s="37">
        <v>0.11</v>
      </c>
      <c r="Z39" s="37">
        <v>0.12</v>
      </c>
      <c r="AA39" s="37">
        <v>0.08</v>
      </c>
      <c r="AB39" s="37">
        <v>0.16</v>
      </c>
      <c r="AC39" s="37">
        <v>0.09</v>
      </c>
      <c r="AD39" s="68">
        <v>0.11</v>
      </c>
      <c r="AE39" s="68">
        <v>0.35</v>
      </c>
      <c r="AF39" s="68">
        <v>0.74</v>
      </c>
      <c r="AG39" s="68">
        <v>0.12</v>
      </c>
      <c r="AH39" s="68">
        <v>0.12</v>
      </c>
      <c r="AI39" s="68">
        <v>0.88</v>
      </c>
      <c r="AJ39" s="68">
        <v>0.66</v>
      </c>
      <c r="AK39" s="68">
        <v>0.43</v>
      </c>
      <c r="AL39" s="68">
        <v>-0.2</v>
      </c>
      <c r="AM39" s="68">
        <v>0.17</v>
      </c>
      <c r="AN39" s="68">
        <v>0.16</v>
      </c>
      <c r="AO39" s="68">
        <v>0.17</v>
      </c>
      <c r="AP39" s="68">
        <v>0.17</v>
      </c>
      <c r="AQ39" s="68">
        <v>1</v>
      </c>
      <c r="AR39" s="68">
        <v>0.65</v>
      </c>
      <c r="AS39" s="68">
        <v>0.21</v>
      </c>
      <c r="AT39" s="68">
        <v>0.04</v>
      </c>
      <c r="AU39" s="68">
        <v>0.15</v>
      </c>
      <c r="AV39" s="68">
        <v>0.12</v>
      </c>
      <c r="AW39" s="68">
        <v>0.16</v>
      </c>
      <c r="AX39" s="68">
        <v>0.12</v>
      </c>
      <c r="AY39" s="68">
        <v>0.05</v>
      </c>
      <c r="AZ39" s="68">
        <v>0.04</v>
      </c>
      <c r="BA39" s="68">
        <v>0</v>
      </c>
      <c r="BB39" s="68">
        <v>0.28000000000000003</v>
      </c>
      <c r="BC39" s="68">
        <v>0.22</v>
      </c>
      <c r="BD39" s="68">
        <v>0.71</v>
      </c>
      <c r="BE39" s="68">
        <v>0.28999999999999998</v>
      </c>
      <c r="BF39" s="68">
        <v>0.03</v>
      </c>
      <c r="BG39" s="68">
        <v>0.04</v>
      </c>
      <c r="BH39" s="68">
        <v>0.03</v>
      </c>
      <c r="BI39" s="68">
        <v>0.71</v>
      </c>
      <c r="BJ39" s="68">
        <v>0.35</v>
      </c>
      <c r="BK39" s="68">
        <v>0.28000000000000003</v>
      </c>
      <c r="BL39" s="68">
        <v>0.16</v>
      </c>
    </row>
    <row r="40" spans="3:64">
      <c r="C40" s="35" t="s">
        <v>201</v>
      </c>
      <c r="E40" s="38"/>
      <c r="F40" s="38">
        <v>1.4E-2</v>
      </c>
      <c r="G40" s="38">
        <v>3.9300000000000002E-2</v>
      </c>
      <c r="I40" s="69" t="s">
        <v>201</v>
      </c>
      <c r="J40" s="37">
        <v>0.26</v>
      </c>
      <c r="K40" s="37">
        <v>0.24</v>
      </c>
      <c r="L40" s="37">
        <v>0.5</v>
      </c>
      <c r="M40" s="37">
        <v>0.34</v>
      </c>
      <c r="N40" s="37">
        <v>0.34</v>
      </c>
      <c r="O40" s="37">
        <v>0.16</v>
      </c>
      <c r="P40" s="37">
        <v>-0.14000000000000001</v>
      </c>
      <c r="Q40" s="37">
        <v>0.03</v>
      </c>
      <c r="R40" s="37">
        <v>-0.02</v>
      </c>
      <c r="S40" s="37">
        <v>0.34</v>
      </c>
      <c r="T40" s="37">
        <v>0.04</v>
      </c>
      <c r="U40" s="37">
        <v>0.21</v>
      </c>
      <c r="V40" s="37">
        <v>0.21</v>
      </c>
      <c r="W40" s="37">
        <v>0.22</v>
      </c>
      <c r="X40" s="37">
        <v>0.2</v>
      </c>
      <c r="Y40" s="37">
        <v>0.2</v>
      </c>
      <c r="Z40" s="37">
        <v>0.21</v>
      </c>
      <c r="AA40" s="37">
        <v>0.18</v>
      </c>
      <c r="AB40" s="37">
        <v>0.26</v>
      </c>
      <c r="AC40" s="37">
        <v>0.08</v>
      </c>
      <c r="AD40" s="68">
        <v>0.18</v>
      </c>
      <c r="AE40" s="68">
        <v>0.42</v>
      </c>
      <c r="AF40" s="68">
        <v>0.54</v>
      </c>
      <c r="AG40" s="68">
        <v>0.22</v>
      </c>
      <c r="AH40" s="68">
        <v>0.21</v>
      </c>
      <c r="AI40" s="68">
        <v>0.66</v>
      </c>
      <c r="AJ40" s="68">
        <v>0.91</v>
      </c>
      <c r="AK40" s="68">
        <v>0.28999999999999998</v>
      </c>
      <c r="AL40" s="68">
        <v>-0.28999999999999998</v>
      </c>
      <c r="AM40" s="68">
        <v>0.26</v>
      </c>
      <c r="AN40" s="68">
        <v>0.25</v>
      </c>
      <c r="AO40" s="68">
        <v>0.26</v>
      </c>
      <c r="AP40" s="68">
        <v>0.27</v>
      </c>
      <c r="AQ40" s="68">
        <v>0.65</v>
      </c>
      <c r="AR40" s="68">
        <v>1</v>
      </c>
      <c r="AS40" s="68">
        <v>0.24</v>
      </c>
      <c r="AT40" s="68">
        <v>0.01</v>
      </c>
      <c r="AU40" s="68">
        <v>0.25</v>
      </c>
      <c r="AV40" s="68">
        <v>0.22</v>
      </c>
      <c r="AW40" s="68">
        <v>0.26</v>
      </c>
      <c r="AX40" s="68">
        <v>0.23</v>
      </c>
      <c r="AY40" s="68">
        <v>7.0000000000000007E-2</v>
      </c>
      <c r="AZ40" s="68">
        <v>7.0000000000000007E-2</v>
      </c>
      <c r="BA40" s="68">
        <v>-0.02</v>
      </c>
      <c r="BB40" s="68">
        <v>0.34</v>
      </c>
      <c r="BC40" s="68">
        <v>0.25</v>
      </c>
      <c r="BD40" s="68">
        <v>0.57999999999999996</v>
      </c>
      <c r="BE40" s="68">
        <v>0.61</v>
      </c>
      <c r="BF40" s="68">
        <v>0.17</v>
      </c>
      <c r="BG40" s="68">
        <v>0.16</v>
      </c>
      <c r="BH40" s="68">
        <v>0.17</v>
      </c>
      <c r="BI40" s="68">
        <v>0.57999999999999996</v>
      </c>
      <c r="BJ40" s="68">
        <v>0.42</v>
      </c>
      <c r="BK40" s="68">
        <v>0.34</v>
      </c>
      <c r="BL40" s="68">
        <v>0.26</v>
      </c>
    </row>
    <row r="41" spans="3:64">
      <c r="C41" s="35" t="s">
        <v>202</v>
      </c>
      <c r="E41" s="38"/>
      <c r="F41" s="38">
        <v>5.9400000000000001E-2</v>
      </c>
      <c r="G41" s="38">
        <v>5.16E-2</v>
      </c>
      <c r="I41" s="69" t="s">
        <v>202</v>
      </c>
      <c r="J41" s="37">
        <v>0.41</v>
      </c>
      <c r="K41" s="37">
        <v>0.8</v>
      </c>
      <c r="L41" s="37">
        <v>0.68</v>
      </c>
      <c r="M41" s="37">
        <v>0.43</v>
      </c>
      <c r="N41" s="37">
        <v>0.43</v>
      </c>
      <c r="O41" s="37">
        <v>0.54</v>
      </c>
      <c r="P41" s="37">
        <v>-0.38</v>
      </c>
      <c r="Q41" s="37">
        <v>0.33</v>
      </c>
      <c r="R41" s="37">
        <v>0.2</v>
      </c>
      <c r="S41" s="37">
        <v>0.23</v>
      </c>
      <c r="T41" s="37">
        <v>0.12</v>
      </c>
      <c r="U41" s="37">
        <v>0.52</v>
      </c>
      <c r="V41" s="37">
        <v>0.37</v>
      </c>
      <c r="W41" s="37">
        <v>0.34</v>
      </c>
      <c r="X41" s="37">
        <v>0.39</v>
      </c>
      <c r="Y41" s="37">
        <v>0.4</v>
      </c>
      <c r="Z41" s="37">
        <v>0.37</v>
      </c>
      <c r="AA41" s="37">
        <v>0.4</v>
      </c>
      <c r="AB41" s="37">
        <v>0.42</v>
      </c>
      <c r="AC41" s="37">
        <v>0.41</v>
      </c>
      <c r="AD41" s="68">
        <v>0.61</v>
      </c>
      <c r="AE41" s="68">
        <v>0.45</v>
      </c>
      <c r="AF41" s="68">
        <v>0.28999999999999998</v>
      </c>
      <c r="AG41" s="68">
        <v>0.38</v>
      </c>
      <c r="AH41" s="68">
        <v>0.35</v>
      </c>
      <c r="AI41" s="68">
        <v>0.3</v>
      </c>
      <c r="AJ41" s="68">
        <v>0.23</v>
      </c>
      <c r="AK41" s="68">
        <v>0.13</v>
      </c>
      <c r="AL41" s="68">
        <v>-0.43</v>
      </c>
      <c r="AM41" s="68">
        <v>0.4</v>
      </c>
      <c r="AN41" s="68">
        <v>0.36</v>
      </c>
      <c r="AO41" s="68">
        <v>0.41</v>
      </c>
      <c r="AP41" s="68">
        <v>0.43</v>
      </c>
      <c r="AQ41" s="68">
        <v>0.21</v>
      </c>
      <c r="AR41" s="68">
        <v>0.24</v>
      </c>
      <c r="AS41" s="68">
        <v>1</v>
      </c>
      <c r="AT41" s="68">
        <v>0.2</v>
      </c>
      <c r="AU41" s="68">
        <v>0.43</v>
      </c>
      <c r="AV41" s="68">
        <v>0.38</v>
      </c>
      <c r="AW41" s="68">
        <v>0.44</v>
      </c>
      <c r="AX41" s="68">
        <v>0.68</v>
      </c>
      <c r="AY41" s="68">
        <v>0.16</v>
      </c>
      <c r="AZ41" s="68">
        <v>0.11</v>
      </c>
      <c r="BA41" s="68">
        <v>-0.01</v>
      </c>
      <c r="BB41" s="68">
        <v>0.43</v>
      </c>
      <c r="BC41" s="68">
        <v>0.38</v>
      </c>
      <c r="BD41" s="68">
        <v>0.34</v>
      </c>
      <c r="BE41" s="68">
        <v>0.13</v>
      </c>
      <c r="BF41" s="68">
        <v>0.41</v>
      </c>
      <c r="BG41" s="68">
        <v>0.38</v>
      </c>
      <c r="BH41" s="68">
        <v>0.42</v>
      </c>
      <c r="BI41" s="68">
        <v>0.34</v>
      </c>
      <c r="BJ41" s="68">
        <v>0.45</v>
      </c>
      <c r="BK41" s="68">
        <v>0.43</v>
      </c>
      <c r="BL41" s="68">
        <v>0.42</v>
      </c>
    </row>
    <row r="42" spans="3:64">
      <c r="C42" s="35" t="s">
        <v>203</v>
      </c>
      <c r="E42" s="38"/>
      <c r="F42" s="38">
        <v>3.49E-2</v>
      </c>
      <c r="G42" s="38">
        <v>4.3900000000000002E-2</v>
      </c>
      <c r="I42" s="69" t="s">
        <v>203</v>
      </c>
      <c r="J42" s="37">
        <v>-0.01</v>
      </c>
      <c r="K42" s="37">
        <v>0.25</v>
      </c>
      <c r="L42" s="37">
        <v>7.0000000000000007E-2</v>
      </c>
      <c r="M42" s="37">
        <v>0</v>
      </c>
      <c r="N42" s="37">
        <v>0</v>
      </c>
      <c r="O42" s="37">
        <v>-0.01</v>
      </c>
      <c r="P42" s="37">
        <v>0.01</v>
      </c>
      <c r="Q42" s="37">
        <v>0.3</v>
      </c>
      <c r="R42" s="37">
        <v>0.13</v>
      </c>
      <c r="S42" s="37">
        <v>0.01</v>
      </c>
      <c r="T42" s="37">
        <v>0.06</v>
      </c>
      <c r="U42" s="37">
        <v>0.04</v>
      </c>
      <c r="V42" s="37">
        <v>0</v>
      </c>
      <c r="W42" s="37">
        <v>0</v>
      </c>
      <c r="X42" s="37">
        <v>0</v>
      </c>
      <c r="Y42" s="37">
        <v>0</v>
      </c>
      <c r="Z42" s="37">
        <v>-0.01</v>
      </c>
      <c r="AA42" s="37">
        <v>0</v>
      </c>
      <c r="AB42" s="37">
        <v>-0.01</v>
      </c>
      <c r="AC42" s="37">
        <v>0.47</v>
      </c>
      <c r="AD42" s="68">
        <v>0.17</v>
      </c>
      <c r="AE42" s="68">
        <v>-0.02</v>
      </c>
      <c r="AF42" s="68">
        <v>0.08</v>
      </c>
      <c r="AG42" s="68">
        <v>0</v>
      </c>
      <c r="AH42" s="68">
        <v>-0.01</v>
      </c>
      <c r="AI42" s="68">
        <v>0.1</v>
      </c>
      <c r="AJ42" s="68">
        <v>0</v>
      </c>
      <c r="AK42" s="68">
        <v>0.08</v>
      </c>
      <c r="AL42" s="68">
        <v>0</v>
      </c>
      <c r="AM42" s="68">
        <v>-0.01</v>
      </c>
      <c r="AN42" s="68">
        <v>-0.01</v>
      </c>
      <c r="AO42" s="68">
        <v>-0.01</v>
      </c>
      <c r="AP42" s="68">
        <v>0.01</v>
      </c>
      <c r="AQ42" s="68">
        <v>0.04</v>
      </c>
      <c r="AR42" s="68">
        <v>0.01</v>
      </c>
      <c r="AS42" s="68">
        <v>0.2</v>
      </c>
      <c r="AT42" s="68">
        <v>1</v>
      </c>
      <c r="AU42" s="68">
        <v>-0.01</v>
      </c>
      <c r="AV42" s="68">
        <v>-0.01</v>
      </c>
      <c r="AW42" s="68">
        <v>-0.01</v>
      </c>
      <c r="AX42" s="68">
        <v>0.25</v>
      </c>
      <c r="AY42" s="68">
        <v>0</v>
      </c>
      <c r="AZ42" s="68">
        <v>0</v>
      </c>
      <c r="BA42" s="68">
        <v>0.03</v>
      </c>
      <c r="BB42" s="68">
        <v>0</v>
      </c>
      <c r="BC42" s="68">
        <v>0</v>
      </c>
      <c r="BD42" s="68">
        <v>0.15</v>
      </c>
      <c r="BE42" s="68">
        <v>0.02</v>
      </c>
      <c r="BF42" s="68">
        <v>-0.01</v>
      </c>
      <c r="BG42" s="68">
        <v>-0.01</v>
      </c>
      <c r="BH42" s="68">
        <v>-0.01</v>
      </c>
      <c r="BI42" s="68">
        <v>0.15</v>
      </c>
      <c r="BJ42" s="68">
        <v>-0.02</v>
      </c>
      <c r="BK42" s="68">
        <v>0</v>
      </c>
      <c r="BL42" s="68">
        <v>-0.01</v>
      </c>
    </row>
    <row r="43" spans="3:64">
      <c r="C43" s="35" t="s">
        <v>204</v>
      </c>
      <c r="E43" s="38"/>
      <c r="F43" s="38">
        <v>6.13E-2</v>
      </c>
      <c r="G43" s="38">
        <v>0.1696</v>
      </c>
      <c r="I43" s="69" t="s">
        <v>204</v>
      </c>
      <c r="J43" s="37">
        <v>0.97</v>
      </c>
      <c r="K43" s="37">
        <v>0.64</v>
      </c>
      <c r="L43" s="37">
        <v>0.54</v>
      </c>
      <c r="M43" s="37">
        <v>0.95</v>
      </c>
      <c r="N43" s="37">
        <v>0.95</v>
      </c>
      <c r="O43" s="37">
        <v>0.32</v>
      </c>
      <c r="P43" s="37">
        <v>-0.75</v>
      </c>
      <c r="Q43" s="37">
        <v>-0.03</v>
      </c>
      <c r="R43" s="37">
        <v>0.21</v>
      </c>
      <c r="S43" s="37">
        <v>0.36</v>
      </c>
      <c r="T43" s="37">
        <v>0.21</v>
      </c>
      <c r="U43" s="37">
        <v>0.66</v>
      </c>
      <c r="V43" s="37">
        <v>0.64</v>
      </c>
      <c r="W43" s="37">
        <v>0.63</v>
      </c>
      <c r="X43" s="37">
        <v>0.62</v>
      </c>
      <c r="Y43" s="37">
        <v>0.64</v>
      </c>
      <c r="Z43" s="37">
        <v>0.68</v>
      </c>
      <c r="AA43" s="37">
        <v>0.57999999999999996</v>
      </c>
      <c r="AB43" s="37">
        <v>0.85</v>
      </c>
      <c r="AC43" s="37">
        <v>0.24</v>
      </c>
      <c r="AD43" s="68">
        <v>0.71</v>
      </c>
      <c r="AE43" s="68">
        <v>0.63</v>
      </c>
      <c r="AF43" s="68">
        <v>0.17</v>
      </c>
      <c r="AG43" s="68">
        <v>0.65</v>
      </c>
      <c r="AH43" s="68">
        <v>0.66</v>
      </c>
      <c r="AI43" s="68">
        <v>0.15</v>
      </c>
      <c r="AJ43" s="68">
        <v>0.21</v>
      </c>
      <c r="AK43" s="68">
        <v>-0.08</v>
      </c>
      <c r="AL43" s="68">
        <v>-0.85</v>
      </c>
      <c r="AM43" s="68">
        <v>0.96</v>
      </c>
      <c r="AN43" s="68">
        <v>0.91</v>
      </c>
      <c r="AO43" s="68">
        <v>0.92</v>
      </c>
      <c r="AP43" s="68">
        <v>0.85</v>
      </c>
      <c r="AQ43" s="68">
        <v>0.15</v>
      </c>
      <c r="AR43" s="68">
        <v>0.25</v>
      </c>
      <c r="AS43" s="68">
        <v>0.43</v>
      </c>
      <c r="AT43" s="68">
        <v>-0.01</v>
      </c>
      <c r="AU43" s="68">
        <v>1</v>
      </c>
      <c r="AV43" s="68">
        <v>0.95</v>
      </c>
      <c r="AW43" s="68">
        <v>0.96</v>
      </c>
      <c r="AX43" s="68">
        <v>0.69</v>
      </c>
      <c r="AY43" s="68">
        <v>0.16</v>
      </c>
      <c r="AZ43" s="68">
        <v>0.27</v>
      </c>
      <c r="BA43" s="68">
        <v>0.04</v>
      </c>
      <c r="BB43" s="68">
        <v>0.95</v>
      </c>
      <c r="BC43" s="68">
        <v>0.67</v>
      </c>
      <c r="BD43" s="68">
        <v>0.12</v>
      </c>
      <c r="BE43" s="68">
        <v>0.1</v>
      </c>
      <c r="BF43" s="68">
        <v>0.94</v>
      </c>
      <c r="BG43" s="68">
        <v>0.91</v>
      </c>
      <c r="BH43" s="68">
        <v>0.91</v>
      </c>
      <c r="BI43" s="68">
        <v>0.12</v>
      </c>
      <c r="BJ43" s="68">
        <v>0.63</v>
      </c>
      <c r="BK43" s="68">
        <v>0.95</v>
      </c>
      <c r="BL43" s="68">
        <v>0.85</v>
      </c>
    </row>
    <row r="44" spans="3:64">
      <c r="C44" s="35" t="s">
        <v>205</v>
      </c>
      <c r="E44" s="38"/>
      <c r="F44" s="38">
        <v>6.0699999999999997E-2</v>
      </c>
      <c r="G44" s="38">
        <v>0.2</v>
      </c>
      <c r="I44" s="69" t="s">
        <v>205</v>
      </c>
      <c r="J44" s="37">
        <v>0.92</v>
      </c>
      <c r="K44" s="37">
        <v>0.62</v>
      </c>
      <c r="L44" s="37">
        <v>0.44</v>
      </c>
      <c r="M44" s="37">
        <v>0.9</v>
      </c>
      <c r="N44" s="37">
        <v>0.9</v>
      </c>
      <c r="O44" s="37">
        <v>0.27</v>
      </c>
      <c r="P44" s="37">
        <v>-0.79</v>
      </c>
      <c r="Q44" s="37">
        <v>-0.03</v>
      </c>
      <c r="R44" s="37">
        <v>0.19</v>
      </c>
      <c r="S44" s="37">
        <v>0.33</v>
      </c>
      <c r="T44" s="37">
        <v>0.18</v>
      </c>
      <c r="U44" s="37">
        <v>0.62</v>
      </c>
      <c r="V44" s="37">
        <v>0.57999999999999996</v>
      </c>
      <c r="W44" s="37">
        <v>0.61</v>
      </c>
      <c r="X44" s="37">
        <v>0.52</v>
      </c>
      <c r="Y44" s="37">
        <v>0.57999999999999996</v>
      </c>
      <c r="Z44" s="37">
        <v>0.66</v>
      </c>
      <c r="AA44" s="37">
        <v>0.48</v>
      </c>
      <c r="AB44" s="37">
        <v>0.79</v>
      </c>
      <c r="AC44" s="37">
        <v>0.25</v>
      </c>
      <c r="AD44" s="68">
        <v>0.69</v>
      </c>
      <c r="AE44" s="68">
        <v>0.56000000000000005</v>
      </c>
      <c r="AF44" s="68">
        <v>0.15</v>
      </c>
      <c r="AG44" s="68">
        <v>0.57999999999999996</v>
      </c>
      <c r="AH44" s="68">
        <v>0.63</v>
      </c>
      <c r="AI44" s="68">
        <v>0.13</v>
      </c>
      <c r="AJ44" s="68">
        <v>0.18</v>
      </c>
      <c r="AK44" s="68">
        <v>-0.1</v>
      </c>
      <c r="AL44" s="68">
        <v>-0.79</v>
      </c>
      <c r="AM44" s="68">
        <v>0.91</v>
      </c>
      <c r="AN44" s="68">
        <v>0.94</v>
      </c>
      <c r="AO44" s="68">
        <v>0.79</v>
      </c>
      <c r="AP44" s="68">
        <v>0.78</v>
      </c>
      <c r="AQ44" s="68">
        <v>0.12</v>
      </c>
      <c r="AR44" s="68">
        <v>0.22</v>
      </c>
      <c r="AS44" s="68">
        <v>0.38</v>
      </c>
      <c r="AT44" s="68">
        <v>-0.01</v>
      </c>
      <c r="AU44" s="68">
        <v>0.95</v>
      </c>
      <c r="AV44" s="68">
        <v>1</v>
      </c>
      <c r="AW44" s="68">
        <v>0.82</v>
      </c>
      <c r="AX44" s="68">
        <v>0.67</v>
      </c>
      <c r="AY44" s="68">
        <v>0.14000000000000001</v>
      </c>
      <c r="AZ44" s="68">
        <v>0.25</v>
      </c>
      <c r="BA44" s="68">
        <v>0.04</v>
      </c>
      <c r="BB44" s="68">
        <v>0.9</v>
      </c>
      <c r="BC44" s="68">
        <v>0.52</v>
      </c>
      <c r="BD44" s="68">
        <v>0.11</v>
      </c>
      <c r="BE44" s="68">
        <v>0.09</v>
      </c>
      <c r="BF44" s="68">
        <v>0.91</v>
      </c>
      <c r="BG44" s="68">
        <v>0.94</v>
      </c>
      <c r="BH44" s="68">
        <v>0.8</v>
      </c>
      <c r="BI44" s="68">
        <v>0.11</v>
      </c>
      <c r="BJ44" s="68">
        <v>0.56000000000000005</v>
      </c>
      <c r="BK44" s="68">
        <v>0.9</v>
      </c>
      <c r="BL44" s="68">
        <v>0.79</v>
      </c>
    </row>
    <row r="45" spans="3:64">
      <c r="C45" s="35" t="s">
        <v>206</v>
      </c>
      <c r="E45" s="38"/>
      <c r="F45" s="38">
        <v>6.1600000000000002E-2</v>
      </c>
      <c r="G45" s="38">
        <v>0.1633</v>
      </c>
      <c r="I45" s="69" t="s">
        <v>206</v>
      </c>
      <c r="J45" s="37">
        <v>0.93</v>
      </c>
      <c r="K45" s="37">
        <v>0.61</v>
      </c>
      <c r="L45" s="37">
        <v>0.59</v>
      </c>
      <c r="M45" s="37">
        <v>0.92</v>
      </c>
      <c r="N45" s="37">
        <v>0.92</v>
      </c>
      <c r="O45" s="37">
        <v>0.33</v>
      </c>
      <c r="P45" s="37">
        <v>-0.65</v>
      </c>
      <c r="Q45" s="37">
        <v>-0.02</v>
      </c>
      <c r="R45" s="37">
        <v>0.2</v>
      </c>
      <c r="S45" s="37">
        <v>0.35</v>
      </c>
      <c r="T45" s="37">
        <v>0.21</v>
      </c>
      <c r="U45" s="37">
        <v>0.64</v>
      </c>
      <c r="V45" s="37">
        <v>0.63</v>
      </c>
      <c r="W45" s="37">
        <v>0.59</v>
      </c>
      <c r="X45" s="37">
        <v>0.65</v>
      </c>
      <c r="Y45" s="37">
        <v>0.64</v>
      </c>
      <c r="Z45" s="37">
        <v>0.63</v>
      </c>
      <c r="AA45" s="37">
        <v>0.61</v>
      </c>
      <c r="AB45" s="37">
        <v>0.84</v>
      </c>
      <c r="AC45" s="37">
        <v>0.21</v>
      </c>
      <c r="AD45" s="68">
        <v>0.67</v>
      </c>
      <c r="AE45" s="68">
        <v>0.64</v>
      </c>
      <c r="AF45" s="68">
        <v>0.18</v>
      </c>
      <c r="AG45" s="68">
        <v>0.65</v>
      </c>
      <c r="AH45" s="68">
        <v>0.63</v>
      </c>
      <c r="AI45" s="68">
        <v>0.15</v>
      </c>
      <c r="AJ45" s="68">
        <v>0.21</v>
      </c>
      <c r="AK45" s="68">
        <v>-0.06</v>
      </c>
      <c r="AL45" s="68">
        <v>-0.84</v>
      </c>
      <c r="AM45" s="68">
        <v>0.92</v>
      </c>
      <c r="AN45" s="68">
        <v>0.82</v>
      </c>
      <c r="AO45" s="68">
        <v>0.96</v>
      </c>
      <c r="AP45" s="68">
        <v>0.83</v>
      </c>
      <c r="AQ45" s="68">
        <v>0.16</v>
      </c>
      <c r="AR45" s="68">
        <v>0.26</v>
      </c>
      <c r="AS45" s="68">
        <v>0.44</v>
      </c>
      <c r="AT45" s="68">
        <v>-0.01</v>
      </c>
      <c r="AU45" s="68">
        <v>0.96</v>
      </c>
      <c r="AV45" s="68">
        <v>0.82</v>
      </c>
      <c r="AW45" s="68">
        <v>1</v>
      </c>
      <c r="AX45" s="68">
        <v>0.65</v>
      </c>
      <c r="AY45" s="68">
        <v>0.17</v>
      </c>
      <c r="AZ45" s="68">
        <v>0.25</v>
      </c>
      <c r="BA45" s="68">
        <v>0.04</v>
      </c>
      <c r="BB45" s="68">
        <v>0.92</v>
      </c>
      <c r="BC45" s="68">
        <v>0.73</v>
      </c>
      <c r="BD45" s="68">
        <v>0.13</v>
      </c>
      <c r="BE45" s="68">
        <v>0.11</v>
      </c>
      <c r="BF45" s="68">
        <v>0.88</v>
      </c>
      <c r="BG45" s="68">
        <v>0.8</v>
      </c>
      <c r="BH45" s="68">
        <v>0.92</v>
      </c>
      <c r="BI45" s="68">
        <v>0.13</v>
      </c>
      <c r="BJ45" s="68">
        <v>0.64</v>
      </c>
      <c r="BK45" s="68">
        <v>0.92</v>
      </c>
      <c r="BL45" s="68">
        <v>0.84</v>
      </c>
    </row>
    <row r="46" spans="3:64">
      <c r="C46" s="35" t="s">
        <v>138</v>
      </c>
      <c r="E46" s="38"/>
      <c r="F46" s="38">
        <v>4.0800000000000003E-2</v>
      </c>
      <c r="G46" s="38">
        <v>5.2999999999999999E-2</v>
      </c>
      <c r="I46" s="69" t="s">
        <v>138</v>
      </c>
      <c r="J46" s="37">
        <v>0.65</v>
      </c>
      <c r="K46" s="37">
        <v>0.89</v>
      </c>
      <c r="L46" s="37">
        <v>0.64</v>
      </c>
      <c r="M46" s="37">
        <v>0.64</v>
      </c>
      <c r="N46" s="37">
        <v>0.64</v>
      </c>
      <c r="O46" s="37">
        <v>0.35</v>
      </c>
      <c r="P46" s="37">
        <v>-0.54</v>
      </c>
      <c r="Q46" s="37">
        <v>0.15</v>
      </c>
      <c r="R46" s="37">
        <v>0.24</v>
      </c>
      <c r="S46" s="37">
        <v>0.33</v>
      </c>
      <c r="T46" s="37">
        <v>0.18</v>
      </c>
      <c r="U46" s="37">
        <v>0.75</v>
      </c>
      <c r="V46" s="37">
        <v>0.66</v>
      </c>
      <c r="W46" s="37">
        <v>0.66</v>
      </c>
      <c r="X46" s="37">
        <v>0.63</v>
      </c>
      <c r="Y46" s="37">
        <v>0.7</v>
      </c>
      <c r="Z46" s="37">
        <v>0.72</v>
      </c>
      <c r="AA46" s="37">
        <v>0.65</v>
      </c>
      <c r="AB46" s="37">
        <v>0.71</v>
      </c>
      <c r="AC46" s="37">
        <v>0.54</v>
      </c>
      <c r="AD46" s="68">
        <v>0.82</v>
      </c>
      <c r="AE46" s="68">
        <v>0.48</v>
      </c>
      <c r="AF46" s="68">
        <v>0.2</v>
      </c>
      <c r="AG46" s="68">
        <v>0.67</v>
      </c>
      <c r="AH46" s="68">
        <v>0.56999999999999995</v>
      </c>
      <c r="AI46" s="68">
        <v>0.17</v>
      </c>
      <c r="AJ46" s="68">
        <v>0.2</v>
      </c>
      <c r="AK46" s="68">
        <v>0.06</v>
      </c>
      <c r="AL46" s="68">
        <v>-0.71</v>
      </c>
      <c r="AM46" s="68">
        <v>0.64</v>
      </c>
      <c r="AN46" s="68">
        <v>0.62</v>
      </c>
      <c r="AO46" s="68">
        <v>0.6</v>
      </c>
      <c r="AP46" s="68">
        <v>0.72</v>
      </c>
      <c r="AQ46" s="68">
        <v>0.12</v>
      </c>
      <c r="AR46" s="68">
        <v>0.23</v>
      </c>
      <c r="AS46" s="68">
        <v>0.68</v>
      </c>
      <c r="AT46" s="68">
        <v>0.25</v>
      </c>
      <c r="AU46" s="68">
        <v>0.69</v>
      </c>
      <c r="AV46" s="68">
        <v>0.67</v>
      </c>
      <c r="AW46" s="68">
        <v>0.65</v>
      </c>
      <c r="AX46" s="68">
        <v>1</v>
      </c>
      <c r="AY46" s="68">
        <v>0.18</v>
      </c>
      <c r="AZ46" s="68">
        <v>0.25</v>
      </c>
      <c r="BA46" s="68">
        <v>0.05</v>
      </c>
      <c r="BB46" s="68">
        <v>0.64</v>
      </c>
      <c r="BC46" s="68">
        <v>0.39</v>
      </c>
      <c r="BD46" s="68">
        <v>0.2</v>
      </c>
      <c r="BE46" s="68">
        <v>0.1</v>
      </c>
      <c r="BF46" s="68">
        <v>0.66</v>
      </c>
      <c r="BG46" s="68">
        <v>0.65</v>
      </c>
      <c r="BH46" s="68">
        <v>0.62</v>
      </c>
      <c r="BI46" s="68">
        <v>0.2</v>
      </c>
      <c r="BJ46" s="68">
        <v>0.48</v>
      </c>
      <c r="BK46" s="68">
        <v>0.64</v>
      </c>
      <c r="BL46" s="68">
        <v>0.71</v>
      </c>
    </row>
    <row r="47" spans="3:64">
      <c r="C47" s="35" t="s">
        <v>23</v>
      </c>
      <c r="E47" s="38"/>
      <c r="F47" s="38">
        <v>5.0299999999999997E-2</v>
      </c>
      <c r="G47" s="38">
        <v>9.6199999999999994E-2</v>
      </c>
      <c r="I47" s="69" t="s">
        <v>23</v>
      </c>
      <c r="J47" s="37">
        <v>0.16</v>
      </c>
      <c r="K47" s="37">
        <v>0.17</v>
      </c>
      <c r="L47" s="37">
        <v>0.19</v>
      </c>
      <c r="M47" s="37">
        <v>0.16</v>
      </c>
      <c r="N47" s="37">
        <v>0.16</v>
      </c>
      <c r="O47" s="37">
        <v>0.24</v>
      </c>
      <c r="P47" s="37">
        <v>-0.1</v>
      </c>
      <c r="Q47" s="37">
        <v>-0.01</v>
      </c>
      <c r="R47" s="37">
        <v>0.06</v>
      </c>
      <c r="S47" s="37">
        <v>7.0000000000000007E-2</v>
      </c>
      <c r="T47" s="37">
        <v>0.03</v>
      </c>
      <c r="U47" s="37">
        <v>0.17</v>
      </c>
      <c r="V47" s="37">
        <v>0.16</v>
      </c>
      <c r="W47" s="37">
        <v>0.16</v>
      </c>
      <c r="X47" s="37">
        <v>0.16</v>
      </c>
      <c r="Y47" s="37">
        <v>0.16</v>
      </c>
      <c r="Z47" s="37">
        <v>0.16</v>
      </c>
      <c r="AA47" s="37">
        <v>0.16</v>
      </c>
      <c r="AB47" s="37">
        <v>0.18</v>
      </c>
      <c r="AC47" s="37">
        <v>0.01</v>
      </c>
      <c r="AD47" s="68">
        <v>0.18</v>
      </c>
      <c r="AE47" s="68">
        <v>0.17</v>
      </c>
      <c r="AF47" s="68">
        <v>0.06</v>
      </c>
      <c r="AG47" s="68">
        <v>0.16</v>
      </c>
      <c r="AH47" s="68">
        <v>0.14000000000000001</v>
      </c>
      <c r="AI47" s="68">
        <v>0.05</v>
      </c>
      <c r="AJ47" s="68">
        <v>0.06</v>
      </c>
      <c r="AK47" s="68">
        <v>0.02</v>
      </c>
      <c r="AL47" s="68">
        <v>-0.18</v>
      </c>
      <c r="AM47" s="68">
        <v>0.16</v>
      </c>
      <c r="AN47" s="68">
        <v>0.14000000000000001</v>
      </c>
      <c r="AO47" s="68">
        <v>0.16</v>
      </c>
      <c r="AP47" s="68">
        <v>0.18</v>
      </c>
      <c r="AQ47" s="68">
        <v>0.05</v>
      </c>
      <c r="AR47" s="68">
        <v>7.0000000000000007E-2</v>
      </c>
      <c r="AS47" s="68">
        <v>0.16</v>
      </c>
      <c r="AT47" s="68">
        <v>0</v>
      </c>
      <c r="AU47" s="68">
        <v>0.16</v>
      </c>
      <c r="AV47" s="68">
        <v>0.14000000000000001</v>
      </c>
      <c r="AW47" s="68">
        <v>0.17</v>
      </c>
      <c r="AX47" s="68">
        <v>0.18</v>
      </c>
      <c r="AY47" s="68">
        <v>1</v>
      </c>
      <c r="AZ47" s="68">
        <v>0.14000000000000001</v>
      </c>
      <c r="BA47" s="68">
        <v>0.03</v>
      </c>
      <c r="BB47" s="68">
        <v>0.16</v>
      </c>
      <c r="BC47" s="68">
        <v>0.14000000000000001</v>
      </c>
      <c r="BD47" s="68">
        <v>0.04</v>
      </c>
      <c r="BE47" s="68">
        <v>0.02</v>
      </c>
      <c r="BF47" s="68">
        <v>0.14000000000000001</v>
      </c>
      <c r="BG47" s="68">
        <v>0.13</v>
      </c>
      <c r="BH47" s="68">
        <v>0.15</v>
      </c>
      <c r="BI47" s="68">
        <v>0.04</v>
      </c>
      <c r="BJ47" s="68">
        <v>0.17</v>
      </c>
      <c r="BK47" s="68">
        <v>0.16</v>
      </c>
      <c r="BL47" s="68">
        <v>0.18</v>
      </c>
    </row>
    <row r="48" spans="3:64">
      <c r="C48" s="35" t="s">
        <v>22</v>
      </c>
      <c r="E48" s="38"/>
      <c r="F48" s="38">
        <v>9.1899999999999996E-2</v>
      </c>
      <c r="G48" s="38">
        <v>0.14419999999999999</v>
      </c>
      <c r="I48" s="69" t="s">
        <v>22</v>
      </c>
      <c r="J48" s="37">
        <v>0.26</v>
      </c>
      <c r="K48" s="37">
        <v>0.21</v>
      </c>
      <c r="L48" s="37">
        <v>0.17</v>
      </c>
      <c r="M48" s="37">
        <v>0.25</v>
      </c>
      <c r="N48" s="37">
        <v>0.25</v>
      </c>
      <c r="O48" s="37">
        <v>0.09</v>
      </c>
      <c r="P48" s="37">
        <v>-0.2</v>
      </c>
      <c r="Q48" s="37">
        <v>-0.01</v>
      </c>
      <c r="R48" s="37">
        <v>7.0000000000000007E-2</v>
      </c>
      <c r="S48" s="37">
        <v>0.1</v>
      </c>
      <c r="T48" s="37">
        <v>0.05</v>
      </c>
      <c r="U48" s="37">
        <v>0.24</v>
      </c>
      <c r="V48" s="37">
        <v>0.23</v>
      </c>
      <c r="W48" s="37">
        <v>0.23</v>
      </c>
      <c r="X48" s="37">
        <v>0.22</v>
      </c>
      <c r="Y48" s="37">
        <v>0.23</v>
      </c>
      <c r="Z48" s="37">
        <v>0.24</v>
      </c>
      <c r="AA48" s="37">
        <v>0.21</v>
      </c>
      <c r="AB48" s="37">
        <v>0.26</v>
      </c>
      <c r="AC48" s="37">
        <v>0.08</v>
      </c>
      <c r="AD48" s="68">
        <v>0.22</v>
      </c>
      <c r="AE48" s="68">
        <v>0.17</v>
      </c>
      <c r="AF48" s="68">
        <v>0.05</v>
      </c>
      <c r="AG48" s="68">
        <v>0.23</v>
      </c>
      <c r="AH48" s="68">
        <v>0.2</v>
      </c>
      <c r="AI48" s="68">
        <v>0.04</v>
      </c>
      <c r="AJ48" s="68">
        <v>0.06</v>
      </c>
      <c r="AK48" s="68">
        <v>0.02</v>
      </c>
      <c r="AL48" s="68">
        <v>-0.26</v>
      </c>
      <c r="AM48" s="68">
        <v>0.26</v>
      </c>
      <c r="AN48" s="68">
        <v>0.24</v>
      </c>
      <c r="AO48" s="68">
        <v>0.24</v>
      </c>
      <c r="AP48" s="68">
        <v>0.26</v>
      </c>
      <c r="AQ48" s="68">
        <v>0.04</v>
      </c>
      <c r="AR48" s="68">
        <v>7.0000000000000007E-2</v>
      </c>
      <c r="AS48" s="68">
        <v>0.11</v>
      </c>
      <c r="AT48" s="68">
        <v>0</v>
      </c>
      <c r="AU48" s="68">
        <v>0.27</v>
      </c>
      <c r="AV48" s="68">
        <v>0.25</v>
      </c>
      <c r="AW48" s="68">
        <v>0.25</v>
      </c>
      <c r="AX48" s="68">
        <v>0.25</v>
      </c>
      <c r="AY48" s="68">
        <v>0.14000000000000001</v>
      </c>
      <c r="AZ48" s="68">
        <v>1</v>
      </c>
      <c r="BA48" s="68">
        <v>0.05</v>
      </c>
      <c r="BB48" s="68">
        <v>0.25</v>
      </c>
      <c r="BC48" s="68">
        <v>0.18</v>
      </c>
      <c r="BD48" s="68">
        <v>0.04</v>
      </c>
      <c r="BE48" s="68">
        <v>0.03</v>
      </c>
      <c r="BF48" s="68">
        <v>0.25</v>
      </c>
      <c r="BG48" s="68">
        <v>0.24</v>
      </c>
      <c r="BH48" s="68">
        <v>0.24</v>
      </c>
      <c r="BI48" s="68">
        <v>0.04</v>
      </c>
      <c r="BJ48" s="68">
        <v>0.17</v>
      </c>
      <c r="BK48" s="68">
        <v>0.25</v>
      </c>
      <c r="BL48" s="68">
        <v>0.26</v>
      </c>
    </row>
    <row r="49" spans="3:64">
      <c r="C49" s="35" t="s">
        <v>24</v>
      </c>
      <c r="E49" s="38"/>
      <c r="F49" s="38">
        <v>6.13E-2</v>
      </c>
      <c r="G49" s="38">
        <v>7.3400000000000007E-2</v>
      </c>
      <c r="I49" s="69" t="s">
        <v>24</v>
      </c>
      <c r="J49" s="37">
        <v>0.04</v>
      </c>
      <c r="K49" s="37">
        <v>0.05</v>
      </c>
      <c r="L49" s="37">
        <v>0</v>
      </c>
      <c r="M49" s="37">
        <v>0.04</v>
      </c>
      <c r="N49" s="37">
        <v>0.04</v>
      </c>
      <c r="O49" s="37">
        <v>-0.01</v>
      </c>
      <c r="P49" s="37">
        <v>-0.03</v>
      </c>
      <c r="Q49" s="37">
        <v>0.09</v>
      </c>
      <c r="R49" s="37">
        <v>0.01</v>
      </c>
      <c r="S49" s="37">
        <v>0</v>
      </c>
      <c r="T49" s="37">
        <v>0.03</v>
      </c>
      <c r="U49" s="37">
        <v>0.04</v>
      </c>
      <c r="V49" s="37">
        <v>0.03</v>
      </c>
      <c r="W49" s="37">
        <v>0.04</v>
      </c>
      <c r="X49" s="37">
        <v>0.03</v>
      </c>
      <c r="Y49" s="37">
        <v>0.04</v>
      </c>
      <c r="Z49" s="37">
        <v>0.04</v>
      </c>
      <c r="AA49" s="37">
        <v>0.03</v>
      </c>
      <c r="AB49" s="37">
        <v>0.04</v>
      </c>
      <c r="AC49" s="37">
        <v>0.04</v>
      </c>
      <c r="AD49" s="68">
        <v>0.05</v>
      </c>
      <c r="AE49" s="68">
        <v>-0.01</v>
      </c>
      <c r="AF49" s="68">
        <v>0</v>
      </c>
      <c r="AG49" s="68">
        <v>0.03</v>
      </c>
      <c r="AH49" s="68">
        <v>0.02</v>
      </c>
      <c r="AI49" s="68">
        <v>0.02</v>
      </c>
      <c r="AJ49" s="68">
        <v>-0.03</v>
      </c>
      <c r="AK49" s="68">
        <v>0.03</v>
      </c>
      <c r="AL49" s="68">
        <v>-0.04</v>
      </c>
      <c r="AM49" s="68">
        <v>0.04</v>
      </c>
      <c r="AN49" s="68">
        <v>0.04</v>
      </c>
      <c r="AO49" s="68">
        <v>0.04</v>
      </c>
      <c r="AP49" s="68">
        <v>0.04</v>
      </c>
      <c r="AQ49" s="68">
        <v>0</v>
      </c>
      <c r="AR49" s="68">
        <v>-0.02</v>
      </c>
      <c r="AS49" s="68">
        <v>-0.01</v>
      </c>
      <c r="AT49" s="68">
        <v>0.03</v>
      </c>
      <c r="AU49" s="68">
        <v>0.04</v>
      </c>
      <c r="AV49" s="68">
        <v>0.04</v>
      </c>
      <c r="AW49" s="68">
        <v>0.04</v>
      </c>
      <c r="AX49" s="68">
        <v>0.05</v>
      </c>
      <c r="AY49" s="68">
        <v>0.03</v>
      </c>
      <c r="AZ49" s="68">
        <v>0.05</v>
      </c>
      <c r="BA49" s="68">
        <v>1</v>
      </c>
      <c r="BB49" s="68">
        <v>0.04</v>
      </c>
      <c r="BC49" s="68">
        <v>0.03</v>
      </c>
      <c r="BD49" s="68">
        <v>0.03</v>
      </c>
      <c r="BE49" s="68">
        <v>-0.01</v>
      </c>
      <c r="BF49" s="68">
        <v>0.04</v>
      </c>
      <c r="BG49" s="68">
        <v>0.04</v>
      </c>
      <c r="BH49" s="68">
        <v>0.03</v>
      </c>
      <c r="BI49" s="68">
        <v>0.03</v>
      </c>
      <c r="BJ49" s="68">
        <v>-0.01</v>
      </c>
      <c r="BK49" s="68">
        <v>0.04</v>
      </c>
      <c r="BL49" s="68">
        <v>0.04</v>
      </c>
    </row>
    <row r="50" spans="3:64">
      <c r="C50" s="35" t="s">
        <v>176</v>
      </c>
      <c r="E50" s="38"/>
      <c r="F50" s="38">
        <v>4.3299999999999998E-2</v>
      </c>
      <c r="G50" s="38">
        <v>9.4200000000000006E-2</v>
      </c>
      <c r="I50" s="69" t="s">
        <v>176</v>
      </c>
      <c r="J50" s="37">
        <v>0.99</v>
      </c>
      <c r="K50" s="37">
        <v>0.64</v>
      </c>
      <c r="L50" s="37">
        <v>0.56999999999999995</v>
      </c>
      <c r="M50" s="37">
        <v>1</v>
      </c>
      <c r="N50" s="37">
        <v>1</v>
      </c>
      <c r="O50" s="37">
        <v>0.3</v>
      </c>
      <c r="P50" s="37">
        <v>-0.71</v>
      </c>
      <c r="Q50" s="37">
        <v>0.02</v>
      </c>
      <c r="R50" s="37">
        <v>0.2</v>
      </c>
      <c r="S50" s="37">
        <v>0.39</v>
      </c>
      <c r="T50" s="37">
        <v>0.19</v>
      </c>
      <c r="U50" s="37">
        <v>0.63</v>
      </c>
      <c r="V50" s="37">
        <v>0.64</v>
      </c>
      <c r="W50" s="37">
        <v>0.64</v>
      </c>
      <c r="X50" s="37">
        <v>0.62</v>
      </c>
      <c r="Y50" s="37">
        <v>0.62</v>
      </c>
      <c r="Z50" s="37">
        <v>0.66</v>
      </c>
      <c r="AA50" s="37">
        <v>0.56000000000000005</v>
      </c>
      <c r="AB50" s="37">
        <v>0.88</v>
      </c>
      <c r="AC50" s="37">
        <v>0.26</v>
      </c>
      <c r="AD50" s="68">
        <v>0.7</v>
      </c>
      <c r="AE50" s="68">
        <v>0.63</v>
      </c>
      <c r="AF50" s="68">
        <v>0.28000000000000003</v>
      </c>
      <c r="AG50" s="68">
        <v>0.65</v>
      </c>
      <c r="AH50" s="68">
        <v>0.63</v>
      </c>
      <c r="AI50" s="68">
        <v>0.28999999999999998</v>
      </c>
      <c r="AJ50" s="68">
        <v>0.28999999999999998</v>
      </c>
      <c r="AK50" s="68">
        <v>0</v>
      </c>
      <c r="AL50" s="68">
        <v>-0.88</v>
      </c>
      <c r="AM50" s="68">
        <v>0.99</v>
      </c>
      <c r="AN50" s="68">
        <v>0.96</v>
      </c>
      <c r="AO50" s="68">
        <v>0.95</v>
      </c>
      <c r="AP50" s="68">
        <v>0.87</v>
      </c>
      <c r="AQ50" s="68">
        <v>0.28000000000000003</v>
      </c>
      <c r="AR50" s="68">
        <v>0.34</v>
      </c>
      <c r="AS50" s="68">
        <v>0.43</v>
      </c>
      <c r="AT50" s="68">
        <v>0</v>
      </c>
      <c r="AU50" s="68">
        <v>0.95</v>
      </c>
      <c r="AV50" s="68">
        <v>0.9</v>
      </c>
      <c r="AW50" s="68">
        <v>0.92</v>
      </c>
      <c r="AX50" s="68">
        <v>0.64</v>
      </c>
      <c r="AY50" s="68">
        <v>0.16</v>
      </c>
      <c r="AZ50" s="68">
        <v>0.25</v>
      </c>
      <c r="BA50" s="68">
        <v>0.04</v>
      </c>
      <c r="BB50" s="68">
        <v>1</v>
      </c>
      <c r="BC50" s="68">
        <v>0.61</v>
      </c>
      <c r="BD50" s="68">
        <v>0.25</v>
      </c>
      <c r="BE50" s="68">
        <v>0.14000000000000001</v>
      </c>
      <c r="BF50" s="68">
        <v>0.83</v>
      </c>
      <c r="BG50" s="68">
        <v>0.82</v>
      </c>
      <c r="BH50" s="68">
        <v>0.81</v>
      </c>
      <c r="BI50" s="68">
        <v>0.25</v>
      </c>
      <c r="BJ50" s="68">
        <v>0.63</v>
      </c>
      <c r="BK50" s="68">
        <v>1</v>
      </c>
      <c r="BL50" s="68">
        <v>0.88</v>
      </c>
    </row>
    <row r="51" spans="3:64">
      <c r="C51" s="35" t="s">
        <v>208</v>
      </c>
      <c r="E51" s="38"/>
      <c r="F51" s="38">
        <v>6.0400000000000002E-2</v>
      </c>
      <c r="G51" s="38">
        <v>0.1681</v>
      </c>
      <c r="I51" s="69" t="s">
        <v>208</v>
      </c>
      <c r="J51" s="37">
        <v>0.62</v>
      </c>
      <c r="K51" s="37">
        <v>0.41</v>
      </c>
      <c r="L51" s="37">
        <v>0.55000000000000004</v>
      </c>
      <c r="M51" s="37">
        <v>0.61</v>
      </c>
      <c r="N51" s="37">
        <v>0.61</v>
      </c>
      <c r="O51" s="37">
        <v>0.35</v>
      </c>
      <c r="P51" s="37">
        <v>-0.44</v>
      </c>
      <c r="Q51" s="37">
        <v>0.01</v>
      </c>
      <c r="R51" s="37">
        <v>0.16</v>
      </c>
      <c r="S51" s="37">
        <v>0.28999999999999998</v>
      </c>
      <c r="T51" s="37">
        <v>0.17</v>
      </c>
      <c r="U51" s="37">
        <v>0.4</v>
      </c>
      <c r="V51" s="37">
        <v>0.47</v>
      </c>
      <c r="W51" s="37">
        <v>0.42</v>
      </c>
      <c r="X51" s="37">
        <v>0.5</v>
      </c>
      <c r="Y51" s="37">
        <v>0.49</v>
      </c>
      <c r="Z51" s="37">
        <v>0.46</v>
      </c>
      <c r="AA51" s="37">
        <v>0.49</v>
      </c>
      <c r="AB51" s="37">
        <v>0.57999999999999996</v>
      </c>
      <c r="AC51" s="37">
        <v>0.1</v>
      </c>
      <c r="AD51" s="68">
        <v>0.45</v>
      </c>
      <c r="AE51" s="68">
        <v>0.6</v>
      </c>
      <c r="AF51" s="68">
        <v>0.21</v>
      </c>
      <c r="AG51" s="68">
        <v>0.49</v>
      </c>
      <c r="AH51" s="68">
        <v>0.48</v>
      </c>
      <c r="AI51" s="68">
        <v>0.18</v>
      </c>
      <c r="AJ51" s="68">
        <v>0.22</v>
      </c>
      <c r="AK51" s="68">
        <v>0.02</v>
      </c>
      <c r="AL51" s="68">
        <v>-0.59</v>
      </c>
      <c r="AM51" s="68">
        <v>0.61</v>
      </c>
      <c r="AN51" s="68">
        <v>0.51</v>
      </c>
      <c r="AO51" s="68">
        <v>0.67</v>
      </c>
      <c r="AP51" s="68">
        <v>0.57999999999999996</v>
      </c>
      <c r="AQ51" s="68">
        <v>0.22</v>
      </c>
      <c r="AR51" s="68">
        <v>0.25</v>
      </c>
      <c r="AS51" s="68">
        <v>0.38</v>
      </c>
      <c r="AT51" s="68">
        <v>0</v>
      </c>
      <c r="AU51" s="68">
        <v>0.67</v>
      </c>
      <c r="AV51" s="68">
        <v>0.52</v>
      </c>
      <c r="AW51" s="68">
        <v>0.73</v>
      </c>
      <c r="AX51" s="68">
        <v>0.39</v>
      </c>
      <c r="AY51" s="68">
        <v>0.14000000000000001</v>
      </c>
      <c r="AZ51" s="68">
        <v>0.18</v>
      </c>
      <c r="BA51" s="68">
        <v>0.03</v>
      </c>
      <c r="BB51" s="68">
        <v>0.61</v>
      </c>
      <c r="BC51" s="68">
        <v>1</v>
      </c>
      <c r="BD51" s="68">
        <v>0.13</v>
      </c>
      <c r="BE51" s="68">
        <v>0.1</v>
      </c>
      <c r="BF51" s="68">
        <v>0.65</v>
      </c>
      <c r="BG51" s="68">
        <v>0.56999999999999995</v>
      </c>
      <c r="BH51" s="68">
        <v>0.72</v>
      </c>
      <c r="BI51" s="68">
        <v>0.13</v>
      </c>
      <c r="BJ51" s="68">
        <v>0.6</v>
      </c>
      <c r="BK51" s="68">
        <v>0.61</v>
      </c>
      <c r="BL51" s="68">
        <v>0.57999999999999996</v>
      </c>
    </row>
    <row r="52" spans="3:64">
      <c r="C52" s="35" t="s">
        <v>209</v>
      </c>
      <c r="E52" s="38"/>
      <c r="F52" s="38">
        <v>1.5900000000000001E-2</v>
      </c>
      <c r="G52" s="38">
        <v>1.4500000000000001E-2</v>
      </c>
      <c r="I52" s="69" t="s">
        <v>209</v>
      </c>
      <c r="J52" s="37">
        <v>0.13</v>
      </c>
      <c r="K52" s="37">
        <v>0.28999999999999998</v>
      </c>
      <c r="L52" s="37">
        <v>0.51</v>
      </c>
      <c r="M52" s="37">
        <v>0.25</v>
      </c>
      <c r="N52" s="37">
        <v>0.25</v>
      </c>
      <c r="O52" s="37">
        <v>7.0000000000000007E-2</v>
      </c>
      <c r="P52" s="37">
        <v>-0.03</v>
      </c>
      <c r="Q52" s="37">
        <v>0.51</v>
      </c>
      <c r="R52" s="37">
        <v>0.13</v>
      </c>
      <c r="S52" s="37">
        <v>0.31</v>
      </c>
      <c r="T52" s="37">
        <v>0.12</v>
      </c>
      <c r="U52" s="37">
        <v>0.16</v>
      </c>
      <c r="V52" s="37">
        <v>0.13</v>
      </c>
      <c r="W52" s="37">
        <v>0.15</v>
      </c>
      <c r="X52" s="37">
        <v>0.11</v>
      </c>
      <c r="Y52" s="37">
        <v>0.12</v>
      </c>
      <c r="Z52" s="37">
        <v>0.12</v>
      </c>
      <c r="AA52" s="37">
        <v>0.1</v>
      </c>
      <c r="AB52" s="37">
        <v>0.14000000000000001</v>
      </c>
      <c r="AC52" s="37">
        <v>0.2</v>
      </c>
      <c r="AD52" s="68">
        <v>0.2</v>
      </c>
      <c r="AE52" s="68">
        <v>0.25</v>
      </c>
      <c r="AF52" s="68">
        <v>0.71</v>
      </c>
      <c r="AG52" s="68">
        <v>0.13</v>
      </c>
      <c r="AH52" s="68">
        <v>0.11</v>
      </c>
      <c r="AI52" s="68">
        <v>0.94</v>
      </c>
      <c r="AJ52" s="68">
        <v>0.57999999999999996</v>
      </c>
      <c r="AK52" s="68">
        <v>0.55000000000000004</v>
      </c>
      <c r="AL52" s="68">
        <v>-0.18</v>
      </c>
      <c r="AM52" s="68">
        <v>0.13</v>
      </c>
      <c r="AN52" s="68">
        <v>0.13</v>
      </c>
      <c r="AO52" s="68">
        <v>0.13</v>
      </c>
      <c r="AP52" s="68">
        <v>0.17</v>
      </c>
      <c r="AQ52" s="68">
        <v>0.71</v>
      </c>
      <c r="AR52" s="68">
        <v>0.57999999999999996</v>
      </c>
      <c r="AS52" s="68">
        <v>0.34</v>
      </c>
      <c r="AT52" s="68">
        <v>0.15</v>
      </c>
      <c r="AU52" s="68">
        <v>0.12</v>
      </c>
      <c r="AV52" s="68">
        <v>0.11</v>
      </c>
      <c r="AW52" s="68">
        <v>0.13</v>
      </c>
      <c r="AX52" s="68">
        <v>0.2</v>
      </c>
      <c r="AY52" s="68">
        <v>0.04</v>
      </c>
      <c r="AZ52" s="68">
        <v>0.04</v>
      </c>
      <c r="BA52" s="68">
        <v>0.03</v>
      </c>
      <c r="BB52" s="68">
        <v>0.25</v>
      </c>
      <c r="BC52" s="68">
        <v>0.13</v>
      </c>
      <c r="BD52" s="68">
        <v>1</v>
      </c>
      <c r="BE52" s="68">
        <v>0.32</v>
      </c>
      <c r="BF52" s="68">
        <v>0.03</v>
      </c>
      <c r="BG52" s="68">
        <v>0.03</v>
      </c>
      <c r="BH52" s="68">
        <v>0.02</v>
      </c>
      <c r="BI52" s="68">
        <v>1</v>
      </c>
      <c r="BJ52" s="68">
        <v>0.25</v>
      </c>
      <c r="BK52" s="68">
        <v>0.25</v>
      </c>
      <c r="BL52" s="68">
        <v>0.14000000000000001</v>
      </c>
    </row>
    <row r="53" spans="3:64">
      <c r="C53" s="35" t="s">
        <v>210</v>
      </c>
      <c r="E53" s="38"/>
      <c r="F53" s="38">
        <v>1.2999999999999999E-2</v>
      </c>
      <c r="G53" s="38">
        <v>1.7999999999999999E-2</v>
      </c>
      <c r="I53" s="69" t="s">
        <v>210</v>
      </c>
      <c r="J53" s="37">
        <v>0.1</v>
      </c>
      <c r="K53" s="37">
        <v>0.11</v>
      </c>
      <c r="L53" s="37">
        <v>0.22</v>
      </c>
      <c r="M53" s="37">
        <v>0.14000000000000001</v>
      </c>
      <c r="N53" s="37">
        <v>0.14000000000000001</v>
      </c>
      <c r="O53" s="37">
        <v>0.04</v>
      </c>
      <c r="P53" s="37">
        <v>-0.05</v>
      </c>
      <c r="Q53" s="37">
        <v>7.0000000000000007E-2</v>
      </c>
      <c r="R53" s="37">
        <v>-0.11</v>
      </c>
      <c r="S53" s="37">
        <v>0.16</v>
      </c>
      <c r="T53" s="37">
        <v>0.03</v>
      </c>
      <c r="U53" s="37">
        <v>0.11</v>
      </c>
      <c r="V53" s="37">
        <v>0.1</v>
      </c>
      <c r="W53" s="37">
        <v>0.1</v>
      </c>
      <c r="X53" s="37">
        <v>0.09</v>
      </c>
      <c r="Y53" s="37">
        <v>0.1</v>
      </c>
      <c r="Z53" s="37">
        <v>0.1</v>
      </c>
      <c r="AA53" s="37">
        <v>0.09</v>
      </c>
      <c r="AB53" s="37">
        <v>0.11</v>
      </c>
      <c r="AC53" s="37">
        <v>0.04</v>
      </c>
      <c r="AD53" s="68">
        <v>0.08</v>
      </c>
      <c r="AE53" s="68">
        <v>0.2</v>
      </c>
      <c r="AF53" s="68">
        <v>0.23</v>
      </c>
      <c r="AG53" s="68">
        <v>0.1</v>
      </c>
      <c r="AH53" s="68">
        <v>0.1</v>
      </c>
      <c r="AI53" s="68">
        <v>0.32</v>
      </c>
      <c r="AJ53" s="68">
        <v>0.68</v>
      </c>
      <c r="AK53" s="68">
        <v>0.15</v>
      </c>
      <c r="AL53" s="68">
        <v>-0.13</v>
      </c>
      <c r="AM53" s="68">
        <v>0.11</v>
      </c>
      <c r="AN53" s="68">
        <v>0.1</v>
      </c>
      <c r="AO53" s="68">
        <v>0.11</v>
      </c>
      <c r="AP53" s="68">
        <v>0.11</v>
      </c>
      <c r="AQ53" s="68">
        <v>0.28999999999999998</v>
      </c>
      <c r="AR53" s="68">
        <v>0.61</v>
      </c>
      <c r="AS53" s="68">
        <v>0.13</v>
      </c>
      <c r="AT53" s="68">
        <v>0.02</v>
      </c>
      <c r="AU53" s="68">
        <v>0.1</v>
      </c>
      <c r="AV53" s="68">
        <v>0.09</v>
      </c>
      <c r="AW53" s="68">
        <v>0.11</v>
      </c>
      <c r="AX53" s="68">
        <v>0.1</v>
      </c>
      <c r="AY53" s="68">
        <v>0.02</v>
      </c>
      <c r="AZ53" s="68">
        <v>0.03</v>
      </c>
      <c r="BA53" s="68">
        <v>-0.01</v>
      </c>
      <c r="BB53" s="68">
        <v>0.14000000000000001</v>
      </c>
      <c r="BC53" s="68">
        <v>0.1</v>
      </c>
      <c r="BD53" s="68">
        <v>0.32</v>
      </c>
      <c r="BE53" s="68">
        <v>1</v>
      </c>
      <c r="BF53" s="68">
        <v>7.0000000000000007E-2</v>
      </c>
      <c r="BG53" s="68">
        <v>0.06</v>
      </c>
      <c r="BH53" s="68">
        <v>7.0000000000000007E-2</v>
      </c>
      <c r="BI53" s="68">
        <v>0.32</v>
      </c>
      <c r="BJ53" s="68">
        <v>0.2</v>
      </c>
      <c r="BK53" s="68">
        <v>0.14000000000000001</v>
      </c>
      <c r="BL53" s="68">
        <v>0.11</v>
      </c>
    </row>
    <row r="54" spans="3:64">
      <c r="C54" s="35" t="s">
        <v>211</v>
      </c>
      <c r="E54" s="38"/>
      <c r="F54" s="38">
        <v>6.1699999999999998E-2</v>
      </c>
      <c r="G54" s="38">
        <v>0.1973</v>
      </c>
      <c r="I54" s="69" t="s">
        <v>211</v>
      </c>
      <c r="J54" s="37">
        <v>0.88</v>
      </c>
      <c r="K54" s="37">
        <v>0.59</v>
      </c>
      <c r="L54" s="37">
        <v>0.46</v>
      </c>
      <c r="M54" s="37">
        <v>0.83</v>
      </c>
      <c r="N54" s="37">
        <v>0.83</v>
      </c>
      <c r="O54" s="37">
        <v>0.3</v>
      </c>
      <c r="P54" s="37">
        <v>-0.78</v>
      </c>
      <c r="Q54" s="37">
        <v>-0.05</v>
      </c>
      <c r="R54" s="37">
        <v>0.2</v>
      </c>
      <c r="S54" s="37">
        <v>0.31</v>
      </c>
      <c r="T54" s="37">
        <v>0.22</v>
      </c>
      <c r="U54" s="37">
        <v>0.62</v>
      </c>
      <c r="V54" s="37">
        <v>0.57999999999999996</v>
      </c>
      <c r="W54" s="37">
        <v>0.56999999999999995</v>
      </c>
      <c r="X54" s="37">
        <v>0.55000000000000004</v>
      </c>
      <c r="Y54" s="37">
        <v>0.6</v>
      </c>
      <c r="Z54" s="37">
        <v>0.64</v>
      </c>
      <c r="AA54" s="37">
        <v>0.54</v>
      </c>
      <c r="AB54" s="37">
        <v>0.76</v>
      </c>
      <c r="AC54" s="37">
        <v>0.22</v>
      </c>
      <c r="AD54" s="68">
        <v>0.66</v>
      </c>
      <c r="AE54" s="68">
        <v>0.56999999999999995</v>
      </c>
      <c r="AF54" s="68">
        <v>0.08</v>
      </c>
      <c r="AG54" s="68">
        <v>0.59</v>
      </c>
      <c r="AH54" s="68">
        <v>0.64</v>
      </c>
      <c r="AI54" s="68">
        <v>0.04</v>
      </c>
      <c r="AJ54" s="68">
        <v>0.12</v>
      </c>
      <c r="AK54" s="68">
        <v>-0.13</v>
      </c>
      <c r="AL54" s="68">
        <v>-0.76</v>
      </c>
      <c r="AM54" s="68">
        <v>0.86</v>
      </c>
      <c r="AN54" s="68">
        <v>0.82</v>
      </c>
      <c r="AO54" s="68">
        <v>0.81</v>
      </c>
      <c r="AP54" s="68">
        <v>0.75</v>
      </c>
      <c r="AQ54" s="68">
        <v>0.03</v>
      </c>
      <c r="AR54" s="68">
        <v>0.17</v>
      </c>
      <c r="AS54" s="68">
        <v>0.41</v>
      </c>
      <c r="AT54" s="68">
        <v>-0.01</v>
      </c>
      <c r="AU54" s="68">
        <v>0.94</v>
      </c>
      <c r="AV54" s="68">
        <v>0.91</v>
      </c>
      <c r="AW54" s="68">
        <v>0.88</v>
      </c>
      <c r="AX54" s="68">
        <v>0.66</v>
      </c>
      <c r="AY54" s="68">
        <v>0.14000000000000001</v>
      </c>
      <c r="AZ54" s="68">
        <v>0.25</v>
      </c>
      <c r="BA54" s="68">
        <v>0.04</v>
      </c>
      <c r="BB54" s="68">
        <v>0.83</v>
      </c>
      <c r="BC54" s="68">
        <v>0.65</v>
      </c>
      <c r="BD54" s="68">
        <v>0.03</v>
      </c>
      <c r="BE54" s="68">
        <v>7.0000000000000007E-2</v>
      </c>
      <c r="BF54" s="68">
        <v>1</v>
      </c>
      <c r="BG54" s="68">
        <v>0.98</v>
      </c>
      <c r="BH54" s="68">
        <v>0.96</v>
      </c>
      <c r="BI54" s="68">
        <v>0.03</v>
      </c>
      <c r="BJ54" s="68">
        <v>0.56999999999999995</v>
      </c>
      <c r="BK54" s="68">
        <v>0.83</v>
      </c>
      <c r="BL54" s="68">
        <v>0.76</v>
      </c>
    </row>
    <row r="55" spans="3:64">
      <c r="C55" s="35" t="s">
        <v>212</v>
      </c>
      <c r="E55" s="38"/>
      <c r="F55" s="38">
        <v>0.06</v>
      </c>
      <c r="G55" s="38">
        <v>0.22489999999999999</v>
      </c>
      <c r="I55" s="69" t="s">
        <v>212</v>
      </c>
      <c r="J55" s="37">
        <v>0.86</v>
      </c>
      <c r="K55" s="37">
        <v>0.57999999999999996</v>
      </c>
      <c r="L55" s="37">
        <v>0.41</v>
      </c>
      <c r="M55" s="37">
        <v>0.82</v>
      </c>
      <c r="N55" s="37">
        <v>0.82</v>
      </c>
      <c r="O55" s="37">
        <v>0.28000000000000003</v>
      </c>
      <c r="P55" s="37">
        <v>-0.81</v>
      </c>
      <c r="Q55" s="37">
        <v>-0.05</v>
      </c>
      <c r="R55" s="37">
        <v>0.19</v>
      </c>
      <c r="S55" s="37">
        <v>0.31</v>
      </c>
      <c r="T55" s="37">
        <v>0.2</v>
      </c>
      <c r="U55" s="37">
        <v>0.6</v>
      </c>
      <c r="V55" s="37">
        <v>0.55000000000000004</v>
      </c>
      <c r="W55" s="37">
        <v>0.56999999999999995</v>
      </c>
      <c r="X55" s="37">
        <v>0.5</v>
      </c>
      <c r="Y55" s="37">
        <v>0.56999999999999995</v>
      </c>
      <c r="Z55" s="37">
        <v>0.64</v>
      </c>
      <c r="AA55" s="37">
        <v>0.49</v>
      </c>
      <c r="AB55" s="37">
        <v>0.73</v>
      </c>
      <c r="AC55" s="37">
        <v>0.22</v>
      </c>
      <c r="AD55" s="68">
        <v>0.66</v>
      </c>
      <c r="AE55" s="68">
        <v>0.54</v>
      </c>
      <c r="AF55" s="68">
        <v>0.08</v>
      </c>
      <c r="AG55" s="68">
        <v>0.56000000000000005</v>
      </c>
      <c r="AH55" s="68">
        <v>0.63</v>
      </c>
      <c r="AI55" s="68">
        <v>0.04</v>
      </c>
      <c r="AJ55" s="68">
        <v>0.12</v>
      </c>
      <c r="AK55" s="68">
        <v>-0.13</v>
      </c>
      <c r="AL55" s="68">
        <v>-0.73</v>
      </c>
      <c r="AM55" s="68">
        <v>0.84</v>
      </c>
      <c r="AN55" s="68">
        <v>0.85</v>
      </c>
      <c r="AO55" s="68">
        <v>0.75</v>
      </c>
      <c r="AP55" s="68">
        <v>0.73</v>
      </c>
      <c r="AQ55" s="68">
        <v>0.04</v>
      </c>
      <c r="AR55" s="68">
        <v>0.16</v>
      </c>
      <c r="AS55" s="68">
        <v>0.38</v>
      </c>
      <c r="AT55" s="68">
        <v>-0.01</v>
      </c>
      <c r="AU55" s="68">
        <v>0.91</v>
      </c>
      <c r="AV55" s="68">
        <v>0.94</v>
      </c>
      <c r="AW55" s="68">
        <v>0.8</v>
      </c>
      <c r="AX55" s="68">
        <v>0.65</v>
      </c>
      <c r="AY55" s="68">
        <v>0.13</v>
      </c>
      <c r="AZ55" s="68">
        <v>0.24</v>
      </c>
      <c r="BA55" s="68">
        <v>0.04</v>
      </c>
      <c r="BB55" s="68">
        <v>0.82</v>
      </c>
      <c r="BC55" s="68">
        <v>0.56999999999999995</v>
      </c>
      <c r="BD55" s="68">
        <v>0.03</v>
      </c>
      <c r="BE55" s="68">
        <v>0.06</v>
      </c>
      <c r="BF55" s="68">
        <v>0.98</v>
      </c>
      <c r="BG55" s="68">
        <v>1</v>
      </c>
      <c r="BH55" s="68">
        <v>0.88</v>
      </c>
      <c r="BI55" s="68">
        <v>0.03</v>
      </c>
      <c r="BJ55" s="68">
        <v>0.54</v>
      </c>
      <c r="BK55" s="68">
        <v>0.82</v>
      </c>
      <c r="BL55" s="68">
        <v>0.73</v>
      </c>
    </row>
    <row r="56" spans="3:64">
      <c r="C56" s="35" t="s">
        <v>213</v>
      </c>
      <c r="E56" s="38"/>
      <c r="F56" s="38">
        <v>6.3299999999999995E-2</v>
      </c>
      <c r="G56" s="38">
        <v>0.18029999999999999</v>
      </c>
      <c r="I56" s="69" t="s">
        <v>213</v>
      </c>
      <c r="J56" s="37">
        <v>0.85</v>
      </c>
      <c r="K56" s="37">
        <v>0.56000000000000005</v>
      </c>
      <c r="L56" s="37">
        <v>0.51</v>
      </c>
      <c r="M56" s="37">
        <v>0.81</v>
      </c>
      <c r="N56" s="37">
        <v>0.81</v>
      </c>
      <c r="O56" s="37">
        <v>0.32</v>
      </c>
      <c r="P56" s="37">
        <v>-0.69</v>
      </c>
      <c r="Q56" s="37">
        <v>-0.05</v>
      </c>
      <c r="R56" s="37">
        <v>0.2</v>
      </c>
      <c r="S56" s="37">
        <v>0.3</v>
      </c>
      <c r="T56" s="37">
        <v>0.22</v>
      </c>
      <c r="U56" s="37">
        <v>0.6</v>
      </c>
      <c r="V56" s="37">
        <v>0.56999999999999995</v>
      </c>
      <c r="W56" s="37">
        <v>0.54</v>
      </c>
      <c r="X56" s="37">
        <v>0.57999999999999996</v>
      </c>
      <c r="Y56" s="37">
        <v>0.6</v>
      </c>
      <c r="Z56" s="37">
        <v>0.6</v>
      </c>
      <c r="AA56" s="37">
        <v>0.56999999999999995</v>
      </c>
      <c r="AB56" s="37">
        <v>0.75</v>
      </c>
      <c r="AC56" s="37">
        <v>0.19</v>
      </c>
      <c r="AD56" s="68">
        <v>0.63</v>
      </c>
      <c r="AE56" s="68">
        <v>0.59</v>
      </c>
      <c r="AF56" s="68">
        <v>0.08</v>
      </c>
      <c r="AG56" s="68">
        <v>0.59</v>
      </c>
      <c r="AH56" s="68">
        <v>0.62</v>
      </c>
      <c r="AI56" s="68">
        <v>0.03</v>
      </c>
      <c r="AJ56" s="68">
        <v>0.13</v>
      </c>
      <c r="AK56" s="68">
        <v>-0.12</v>
      </c>
      <c r="AL56" s="68">
        <v>-0.75</v>
      </c>
      <c r="AM56" s="68">
        <v>0.83</v>
      </c>
      <c r="AN56" s="68">
        <v>0.74</v>
      </c>
      <c r="AO56" s="68">
        <v>0.86</v>
      </c>
      <c r="AP56" s="68">
        <v>0.74</v>
      </c>
      <c r="AQ56" s="68">
        <v>0.03</v>
      </c>
      <c r="AR56" s="68">
        <v>0.17</v>
      </c>
      <c r="AS56" s="68">
        <v>0.42</v>
      </c>
      <c r="AT56" s="68">
        <v>-0.01</v>
      </c>
      <c r="AU56" s="68">
        <v>0.91</v>
      </c>
      <c r="AV56" s="68">
        <v>0.8</v>
      </c>
      <c r="AW56" s="68">
        <v>0.92</v>
      </c>
      <c r="AX56" s="68">
        <v>0.62</v>
      </c>
      <c r="AY56" s="68">
        <v>0.15</v>
      </c>
      <c r="AZ56" s="68">
        <v>0.24</v>
      </c>
      <c r="BA56" s="68">
        <v>0.03</v>
      </c>
      <c r="BB56" s="68">
        <v>0.81</v>
      </c>
      <c r="BC56" s="68">
        <v>0.72</v>
      </c>
      <c r="BD56" s="68">
        <v>0.02</v>
      </c>
      <c r="BE56" s="68">
        <v>7.0000000000000007E-2</v>
      </c>
      <c r="BF56" s="68">
        <v>0.96</v>
      </c>
      <c r="BG56" s="68">
        <v>0.88</v>
      </c>
      <c r="BH56" s="68">
        <v>1</v>
      </c>
      <c r="BI56" s="68">
        <v>0.02</v>
      </c>
      <c r="BJ56" s="68">
        <v>0.59</v>
      </c>
      <c r="BK56" s="68">
        <v>0.81</v>
      </c>
      <c r="BL56" s="68">
        <v>0.75</v>
      </c>
    </row>
    <row r="57" spans="3:64">
      <c r="C57" s="35" t="s">
        <v>219</v>
      </c>
      <c r="E57" s="38"/>
      <c r="F57" s="38">
        <v>1.5900000000000001E-2</v>
      </c>
      <c r="G57" s="38">
        <v>1.4500000000000001E-2</v>
      </c>
      <c r="I57" s="69" t="s">
        <v>214</v>
      </c>
      <c r="J57" s="37">
        <v>0.13</v>
      </c>
      <c r="K57" s="37">
        <v>0.28999999999999998</v>
      </c>
      <c r="L57" s="37">
        <v>0.51</v>
      </c>
      <c r="M57" s="37">
        <v>0.25</v>
      </c>
      <c r="N57" s="37">
        <v>0.25</v>
      </c>
      <c r="O57" s="37">
        <v>7.0000000000000007E-2</v>
      </c>
      <c r="P57" s="37">
        <v>-0.03</v>
      </c>
      <c r="Q57" s="37">
        <v>0.51</v>
      </c>
      <c r="R57" s="37">
        <v>0.13</v>
      </c>
      <c r="S57" s="37">
        <v>0.31</v>
      </c>
      <c r="T57" s="37">
        <v>0.12</v>
      </c>
      <c r="U57" s="37">
        <v>0.16</v>
      </c>
      <c r="V57" s="37">
        <v>0.13</v>
      </c>
      <c r="W57" s="37">
        <v>0.15</v>
      </c>
      <c r="X57" s="37">
        <v>0.11</v>
      </c>
      <c r="Y57" s="37">
        <v>0.12</v>
      </c>
      <c r="Z57" s="37">
        <v>0.12</v>
      </c>
      <c r="AA57" s="37">
        <v>0.1</v>
      </c>
      <c r="AB57" s="37">
        <v>0.14000000000000001</v>
      </c>
      <c r="AC57" s="37">
        <v>0.2</v>
      </c>
      <c r="AD57" s="68">
        <v>0.2</v>
      </c>
      <c r="AE57" s="68">
        <v>0.25</v>
      </c>
      <c r="AF57" s="68">
        <v>0.71</v>
      </c>
      <c r="AG57" s="68">
        <v>0.13</v>
      </c>
      <c r="AH57" s="68">
        <v>0.11</v>
      </c>
      <c r="AI57" s="68">
        <v>0.94</v>
      </c>
      <c r="AJ57" s="68">
        <v>0.57999999999999996</v>
      </c>
      <c r="AK57" s="68">
        <v>0.55000000000000004</v>
      </c>
      <c r="AL57" s="68">
        <v>-0.18</v>
      </c>
      <c r="AM57" s="68">
        <v>0.13</v>
      </c>
      <c r="AN57" s="68">
        <v>0.13</v>
      </c>
      <c r="AO57" s="68">
        <v>0.13</v>
      </c>
      <c r="AP57" s="68">
        <v>0.17</v>
      </c>
      <c r="AQ57" s="68">
        <v>0.71</v>
      </c>
      <c r="AR57" s="68">
        <v>0.57999999999999996</v>
      </c>
      <c r="AS57" s="68">
        <v>0.34</v>
      </c>
      <c r="AT57" s="68">
        <v>0.15</v>
      </c>
      <c r="AU57" s="68">
        <v>0.12</v>
      </c>
      <c r="AV57" s="68">
        <v>0.11</v>
      </c>
      <c r="AW57" s="68">
        <v>0.13</v>
      </c>
      <c r="AX57" s="68">
        <v>0.2</v>
      </c>
      <c r="AY57" s="68">
        <v>0.04</v>
      </c>
      <c r="AZ57" s="68">
        <v>0.04</v>
      </c>
      <c r="BA57" s="68">
        <v>0.03</v>
      </c>
      <c r="BB57" s="68">
        <v>0.25</v>
      </c>
      <c r="BC57" s="68">
        <v>0.13</v>
      </c>
      <c r="BD57" s="68">
        <v>1</v>
      </c>
      <c r="BE57" s="68">
        <v>0.32</v>
      </c>
      <c r="BF57" s="68">
        <v>0.03</v>
      </c>
      <c r="BG57" s="68">
        <v>0.03</v>
      </c>
      <c r="BH57" s="68">
        <v>0.02</v>
      </c>
      <c r="BI57" s="68">
        <v>1</v>
      </c>
      <c r="BJ57" s="68">
        <v>0.25</v>
      </c>
      <c r="BK57" s="68">
        <v>0.25</v>
      </c>
      <c r="BL57" s="68">
        <v>0.14000000000000001</v>
      </c>
    </row>
    <row r="58" spans="3:64">
      <c r="C58" s="35" t="s">
        <v>220</v>
      </c>
      <c r="E58" s="38"/>
      <c r="F58" s="38">
        <v>3.5099999999999999E-2</v>
      </c>
      <c r="G58" s="38">
        <v>7.8E-2</v>
      </c>
      <c r="I58" s="69" t="s">
        <v>215</v>
      </c>
      <c r="J58" s="37">
        <v>0.61</v>
      </c>
      <c r="K58" s="37">
        <v>0.47</v>
      </c>
      <c r="L58" s="37">
        <v>0.73</v>
      </c>
      <c r="M58" s="37">
        <v>0.63</v>
      </c>
      <c r="N58" s="37">
        <v>0.63</v>
      </c>
      <c r="O58" s="37">
        <v>0.49</v>
      </c>
      <c r="P58" s="37">
        <v>-0.44</v>
      </c>
      <c r="Q58" s="37">
        <v>-0.08</v>
      </c>
      <c r="R58" s="37">
        <v>0.18</v>
      </c>
      <c r="S58" s="37">
        <v>0.4</v>
      </c>
      <c r="T58" s="37">
        <v>0.12</v>
      </c>
      <c r="U58" s="37">
        <v>0.55000000000000004</v>
      </c>
      <c r="V58" s="37">
        <v>0.47</v>
      </c>
      <c r="W58" s="37">
        <v>0.45</v>
      </c>
      <c r="X58" s="37">
        <v>0.47</v>
      </c>
      <c r="Y58" s="37">
        <v>0.47</v>
      </c>
      <c r="Z58" s="37">
        <v>0.48</v>
      </c>
      <c r="AA58" s="37">
        <v>0.45</v>
      </c>
      <c r="AB58" s="37">
        <v>0.57999999999999996</v>
      </c>
      <c r="AC58" s="37">
        <v>7.0000000000000007E-2</v>
      </c>
      <c r="AD58" s="68">
        <v>0.45</v>
      </c>
      <c r="AE58" s="68">
        <v>1</v>
      </c>
      <c r="AF58" s="68">
        <v>0.34</v>
      </c>
      <c r="AG58" s="68">
        <v>0.48</v>
      </c>
      <c r="AH58" s="68">
        <v>0.54</v>
      </c>
      <c r="AI58" s="68">
        <v>0.32</v>
      </c>
      <c r="AJ58" s="68">
        <v>0.41</v>
      </c>
      <c r="AK58" s="68">
        <v>0.04</v>
      </c>
      <c r="AL58" s="68">
        <v>-0.59</v>
      </c>
      <c r="AM58" s="68">
        <v>0.61</v>
      </c>
      <c r="AN58" s="68">
        <v>0.55000000000000004</v>
      </c>
      <c r="AO58" s="68">
        <v>0.61</v>
      </c>
      <c r="AP58" s="68">
        <v>0.59</v>
      </c>
      <c r="AQ58" s="68">
        <v>0.35</v>
      </c>
      <c r="AR58" s="68">
        <v>0.42</v>
      </c>
      <c r="AS58" s="68">
        <v>0.45</v>
      </c>
      <c r="AT58" s="68">
        <v>-0.02</v>
      </c>
      <c r="AU58" s="68">
        <v>0.63</v>
      </c>
      <c r="AV58" s="68">
        <v>0.56000000000000005</v>
      </c>
      <c r="AW58" s="68">
        <v>0.64</v>
      </c>
      <c r="AX58" s="68">
        <v>0.48</v>
      </c>
      <c r="AY58" s="68">
        <v>0.17</v>
      </c>
      <c r="AZ58" s="68">
        <v>0.17</v>
      </c>
      <c r="BA58" s="68">
        <v>-0.01</v>
      </c>
      <c r="BB58" s="68">
        <v>0.63</v>
      </c>
      <c r="BC58" s="68">
        <v>0.6</v>
      </c>
      <c r="BD58" s="68">
        <v>0.25</v>
      </c>
      <c r="BE58" s="68">
        <v>0.2</v>
      </c>
      <c r="BF58" s="68">
        <v>0.56999999999999995</v>
      </c>
      <c r="BG58" s="68">
        <v>0.54</v>
      </c>
      <c r="BH58" s="68">
        <v>0.59</v>
      </c>
      <c r="BI58" s="68">
        <v>0.25</v>
      </c>
      <c r="BJ58" s="68">
        <v>1</v>
      </c>
      <c r="BK58" s="68">
        <v>0.63</v>
      </c>
      <c r="BL58" s="68">
        <v>0.57999999999999996</v>
      </c>
    </row>
    <row r="59" spans="3:64">
      <c r="C59" s="35" t="s">
        <v>221</v>
      </c>
      <c r="E59" s="38"/>
      <c r="F59" s="38">
        <v>4.3299999999999998E-2</v>
      </c>
      <c r="G59" s="38">
        <v>9.4200000000000006E-2</v>
      </c>
      <c r="I59" s="69" t="s">
        <v>216</v>
      </c>
      <c r="J59" s="37">
        <v>0.99</v>
      </c>
      <c r="K59" s="37">
        <v>0.64</v>
      </c>
      <c r="L59" s="37">
        <v>0.56999999999999995</v>
      </c>
      <c r="M59" s="37">
        <v>1</v>
      </c>
      <c r="N59" s="37">
        <v>1</v>
      </c>
      <c r="O59" s="37">
        <v>0.3</v>
      </c>
      <c r="P59" s="37">
        <v>-0.71</v>
      </c>
      <c r="Q59" s="37">
        <v>0.02</v>
      </c>
      <c r="R59" s="37">
        <v>0.2</v>
      </c>
      <c r="S59" s="37">
        <v>0.39</v>
      </c>
      <c r="T59" s="37">
        <v>0.19</v>
      </c>
      <c r="U59" s="37">
        <v>0.63</v>
      </c>
      <c r="V59" s="37">
        <v>0.64</v>
      </c>
      <c r="W59" s="37">
        <v>0.64</v>
      </c>
      <c r="X59" s="37">
        <v>0.62</v>
      </c>
      <c r="Y59" s="37">
        <v>0.62</v>
      </c>
      <c r="Z59" s="37">
        <v>0.66</v>
      </c>
      <c r="AA59" s="37">
        <v>0.56000000000000005</v>
      </c>
      <c r="AB59" s="37">
        <v>0.88</v>
      </c>
      <c r="AC59" s="37">
        <v>0.26</v>
      </c>
      <c r="AD59" s="68">
        <v>0.7</v>
      </c>
      <c r="AE59" s="68">
        <v>0.63</v>
      </c>
      <c r="AF59" s="68">
        <v>0.28000000000000003</v>
      </c>
      <c r="AG59" s="68">
        <v>0.65</v>
      </c>
      <c r="AH59" s="68">
        <v>0.63</v>
      </c>
      <c r="AI59" s="68">
        <v>0.28999999999999998</v>
      </c>
      <c r="AJ59" s="68">
        <v>0.28999999999999998</v>
      </c>
      <c r="AK59" s="68">
        <v>0</v>
      </c>
      <c r="AL59" s="68">
        <v>-0.88</v>
      </c>
      <c r="AM59" s="68">
        <v>0.99</v>
      </c>
      <c r="AN59" s="68">
        <v>0.96</v>
      </c>
      <c r="AO59" s="68">
        <v>0.95</v>
      </c>
      <c r="AP59" s="68">
        <v>0.87</v>
      </c>
      <c r="AQ59" s="68">
        <v>0.28000000000000003</v>
      </c>
      <c r="AR59" s="68">
        <v>0.34</v>
      </c>
      <c r="AS59" s="68">
        <v>0.43</v>
      </c>
      <c r="AT59" s="68">
        <v>0</v>
      </c>
      <c r="AU59" s="68">
        <v>0.95</v>
      </c>
      <c r="AV59" s="68">
        <v>0.9</v>
      </c>
      <c r="AW59" s="68">
        <v>0.92</v>
      </c>
      <c r="AX59" s="68">
        <v>0.64</v>
      </c>
      <c r="AY59" s="68">
        <v>0.16</v>
      </c>
      <c r="AZ59" s="68">
        <v>0.25</v>
      </c>
      <c r="BA59" s="68">
        <v>0.04</v>
      </c>
      <c r="BB59" s="68">
        <v>1</v>
      </c>
      <c r="BC59" s="68">
        <v>0.61</v>
      </c>
      <c r="BD59" s="68">
        <v>0.25</v>
      </c>
      <c r="BE59" s="68">
        <v>0.14000000000000001</v>
      </c>
      <c r="BF59" s="68">
        <v>0.83</v>
      </c>
      <c r="BG59" s="68">
        <v>0.82</v>
      </c>
      <c r="BH59" s="68">
        <v>0.81</v>
      </c>
      <c r="BI59" s="68">
        <v>0.25</v>
      </c>
      <c r="BJ59" s="68">
        <v>0.63</v>
      </c>
      <c r="BK59" s="68">
        <v>1</v>
      </c>
      <c r="BL59" s="68">
        <v>0.88</v>
      </c>
    </row>
    <row r="60" spans="3:64">
      <c r="C60" s="35" t="s">
        <v>222</v>
      </c>
      <c r="E60" s="38"/>
      <c r="F60" s="38">
        <v>6.0600000000000001E-2</v>
      </c>
      <c r="G60" s="38">
        <v>0.14879999999999999</v>
      </c>
      <c r="I60" s="69" t="s">
        <v>217</v>
      </c>
      <c r="J60" s="37">
        <v>0.88</v>
      </c>
      <c r="K60" s="37">
        <v>0.65</v>
      </c>
      <c r="L60" s="37">
        <v>0.56000000000000005</v>
      </c>
      <c r="M60" s="37">
        <v>0.88</v>
      </c>
      <c r="N60" s="37">
        <v>0.88</v>
      </c>
      <c r="O60" s="37">
        <v>0.31</v>
      </c>
      <c r="P60" s="37">
        <v>-0.6</v>
      </c>
      <c r="Q60" s="37">
        <v>-0.02</v>
      </c>
      <c r="R60" s="37">
        <v>0.26</v>
      </c>
      <c r="S60" s="37">
        <v>0.35</v>
      </c>
      <c r="T60" s="37">
        <v>0.17</v>
      </c>
      <c r="U60" s="37">
        <v>0.66</v>
      </c>
      <c r="V60" s="37">
        <v>0.92</v>
      </c>
      <c r="W60" s="37">
        <v>0.9</v>
      </c>
      <c r="X60" s="37">
        <v>0.9</v>
      </c>
      <c r="Y60" s="37">
        <v>0.89</v>
      </c>
      <c r="Z60" s="37">
        <v>0.89</v>
      </c>
      <c r="AA60" s="37">
        <v>0.84</v>
      </c>
      <c r="AB60" s="37">
        <v>1</v>
      </c>
      <c r="AC60" s="37">
        <v>0.25</v>
      </c>
      <c r="AD60" s="68">
        <v>0.71</v>
      </c>
      <c r="AE60" s="68">
        <v>0.57999999999999996</v>
      </c>
      <c r="AF60" s="68">
        <v>0.2</v>
      </c>
      <c r="AG60" s="68">
        <v>0.92</v>
      </c>
      <c r="AH60" s="68">
        <v>0.72</v>
      </c>
      <c r="AI60" s="68">
        <v>0.16</v>
      </c>
      <c r="AJ60" s="68">
        <v>0.22</v>
      </c>
      <c r="AK60" s="68">
        <v>0.15</v>
      </c>
      <c r="AL60" s="68">
        <v>-1</v>
      </c>
      <c r="AM60" s="68">
        <v>0.88</v>
      </c>
      <c r="AN60" s="68">
        <v>0.83</v>
      </c>
      <c r="AO60" s="68">
        <v>0.87</v>
      </c>
      <c r="AP60" s="68">
        <v>1</v>
      </c>
      <c r="AQ60" s="68">
        <v>0.16</v>
      </c>
      <c r="AR60" s="68">
        <v>0.26</v>
      </c>
      <c r="AS60" s="68">
        <v>0.42</v>
      </c>
      <c r="AT60" s="68">
        <v>-0.01</v>
      </c>
      <c r="AU60" s="68">
        <v>0.85</v>
      </c>
      <c r="AV60" s="68">
        <v>0.79</v>
      </c>
      <c r="AW60" s="68">
        <v>0.84</v>
      </c>
      <c r="AX60" s="68">
        <v>0.71</v>
      </c>
      <c r="AY60" s="68">
        <v>0.18</v>
      </c>
      <c r="AZ60" s="68">
        <v>0.26</v>
      </c>
      <c r="BA60" s="68">
        <v>0.04</v>
      </c>
      <c r="BB60" s="68">
        <v>0.88</v>
      </c>
      <c r="BC60" s="68">
        <v>0.57999999999999996</v>
      </c>
      <c r="BD60" s="68">
        <v>0.14000000000000001</v>
      </c>
      <c r="BE60" s="68">
        <v>0.11</v>
      </c>
      <c r="BF60" s="68">
        <v>0.76</v>
      </c>
      <c r="BG60" s="68">
        <v>0.73</v>
      </c>
      <c r="BH60" s="68">
        <v>0.75</v>
      </c>
      <c r="BI60" s="68">
        <v>0.14000000000000001</v>
      </c>
      <c r="BJ60" s="68">
        <v>0.57999999999999996</v>
      </c>
      <c r="BK60" s="68">
        <v>0.88</v>
      </c>
      <c r="BL60" s="68">
        <v>1</v>
      </c>
    </row>
  </sheetData>
  <mergeCells count="1">
    <mergeCell ref="B2:BL3"/>
  </mergeCells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BEC0-130A-4E7B-869C-7C76ADA18527}">
  <sheetPr codeName="Sheet6">
    <tabColor theme="8" tint="0.39997558519241921"/>
  </sheetPr>
  <dimension ref="A1:BQ64"/>
  <sheetViews>
    <sheetView showGridLines="0" topLeftCell="A12" zoomScale="85" zoomScaleNormal="85" workbookViewId="0">
      <selection activeCell="X33" sqref="X33"/>
    </sheetView>
  </sheetViews>
  <sheetFormatPr baseColWidth="10" defaultColWidth="0" defaultRowHeight="15"/>
  <cols>
    <col min="1" max="1" width="1.83203125" customWidth="1"/>
    <col min="2" max="2" width="13" style="35" customWidth="1"/>
    <col min="3" max="3" width="32.5" style="35" customWidth="1"/>
    <col min="4" max="4" width="46.83203125" style="35" customWidth="1"/>
    <col min="5" max="5" width="9.6640625" style="35" customWidth="1"/>
    <col min="6" max="6" width="9" style="35" customWidth="1"/>
    <col min="7" max="7" width="9.1640625" style="35" customWidth="1"/>
    <col min="8" max="8" width="3.33203125" style="35" customWidth="1"/>
    <col min="9" max="9" width="34.1640625" style="35" customWidth="1"/>
    <col min="10" max="68" width="5.33203125" style="35" customWidth="1"/>
    <col min="69" max="69" width="8.83203125" style="35" customWidth="1"/>
    <col min="70" max="16384" width="8.83203125" style="35" hidden="1"/>
  </cols>
  <sheetData>
    <row r="1" spans="1:68" customFormat="1"/>
    <row r="2" spans="1:68" customFormat="1" ht="14.75" customHeight="1">
      <c r="B2" s="610" t="s">
        <v>223</v>
      </c>
      <c r="C2" s="610"/>
      <c r="D2" s="610"/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  <c r="R2" s="610"/>
      <c r="S2" s="610"/>
      <c r="T2" s="610"/>
      <c r="U2" s="610"/>
      <c r="V2" s="610"/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0"/>
      <c r="AJ2" s="610"/>
      <c r="AK2" s="610"/>
      <c r="AL2" s="610"/>
      <c r="AM2" s="610"/>
      <c r="AN2" s="610"/>
      <c r="AO2" s="610"/>
      <c r="AP2" s="610"/>
      <c r="AQ2" s="610"/>
      <c r="AR2" s="610"/>
      <c r="AS2" s="610"/>
      <c r="AT2" s="610"/>
      <c r="AU2" s="610"/>
      <c r="AV2" s="610"/>
      <c r="AW2" s="610"/>
      <c r="AX2" s="610"/>
      <c r="AY2" s="610"/>
      <c r="AZ2" s="610"/>
      <c r="BA2" s="610"/>
      <c r="BB2" s="610"/>
      <c r="BC2" s="610"/>
      <c r="BD2" s="610"/>
      <c r="BE2" s="610"/>
      <c r="BF2" s="610"/>
      <c r="BG2" s="610"/>
      <c r="BH2" s="610"/>
      <c r="BI2" s="610"/>
      <c r="BJ2" s="610"/>
      <c r="BK2" s="610"/>
      <c r="BL2" s="610"/>
      <c r="BM2" s="610"/>
      <c r="BN2" s="610"/>
      <c r="BO2" s="610"/>
      <c r="BP2" s="610"/>
    </row>
    <row r="3" spans="1:68" customFormat="1" ht="14.75" customHeight="1"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  <c r="R3" s="610"/>
      <c r="S3" s="610"/>
      <c r="T3" s="610"/>
      <c r="U3" s="610"/>
      <c r="V3" s="610"/>
      <c r="W3" s="610"/>
      <c r="X3" s="610"/>
      <c r="Y3" s="610"/>
      <c r="Z3" s="610"/>
      <c r="AA3" s="610"/>
      <c r="AB3" s="610"/>
      <c r="AC3" s="610"/>
      <c r="AD3" s="610"/>
      <c r="AE3" s="610"/>
      <c r="AF3" s="610"/>
      <c r="AG3" s="610"/>
      <c r="AH3" s="610"/>
      <c r="AI3" s="610"/>
      <c r="AJ3" s="610"/>
      <c r="AK3" s="610"/>
      <c r="AL3" s="610"/>
      <c r="AM3" s="610"/>
      <c r="AN3" s="610"/>
      <c r="AO3" s="610"/>
      <c r="AP3" s="610"/>
      <c r="AQ3" s="610"/>
      <c r="AR3" s="610"/>
      <c r="AS3" s="610"/>
      <c r="AT3" s="610"/>
      <c r="AU3" s="610"/>
      <c r="AV3" s="610"/>
      <c r="AW3" s="610"/>
      <c r="AX3" s="610"/>
      <c r="AY3" s="610"/>
      <c r="AZ3" s="610"/>
      <c r="BA3" s="610"/>
      <c r="BB3" s="610"/>
      <c r="BC3" s="610"/>
      <c r="BD3" s="610"/>
      <c r="BE3" s="610"/>
      <c r="BF3" s="610"/>
      <c r="BG3" s="610"/>
      <c r="BH3" s="610"/>
      <c r="BI3" s="610"/>
      <c r="BJ3" s="610"/>
      <c r="BK3" s="610"/>
      <c r="BL3" s="610"/>
      <c r="BM3" s="610"/>
      <c r="BN3" s="610"/>
      <c r="BO3" s="610"/>
      <c r="BP3" s="610"/>
    </row>
    <row r="4" spans="1:68" customFormat="1" ht="12.5" customHeight="1">
      <c r="E4" s="106" t="s">
        <v>141</v>
      </c>
      <c r="F4" s="106" t="s">
        <v>142</v>
      </c>
    </row>
    <row r="5" spans="1:68" s="45" customFormat="1" ht="68" customHeight="1">
      <c r="A5"/>
      <c r="B5" s="39" t="s">
        <v>54</v>
      </c>
      <c r="C5" s="39" t="s">
        <v>143</v>
      </c>
      <c r="D5" s="39" t="s">
        <v>144</v>
      </c>
      <c r="E5" s="40" t="s">
        <v>145</v>
      </c>
      <c r="F5" s="40" t="s">
        <v>33</v>
      </c>
      <c r="G5" s="40" t="s">
        <v>34</v>
      </c>
      <c r="H5" s="36"/>
      <c r="I5" s="34" t="s">
        <v>146</v>
      </c>
      <c r="J5" s="74" t="s">
        <v>224</v>
      </c>
      <c r="K5" s="74" t="s">
        <v>225</v>
      </c>
      <c r="L5" s="74" t="s">
        <v>226</v>
      </c>
      <c r="M5" s="74" t="s">
        <v>227</v>
      </c>
      <c r="N5" s="74" t="s">
        <v>228</v>
      </c>
      <c r="O5" s="74" t="s">
        <v>18</v>
      </c>
      <c r="P5" s="74" t="s">
        <v>229</v>
      </c>
      <c r="Q5" s="74" t="s">
        <v>230</v>
      </c>
      <c r="R5" s="74" t="s">
        <v>231</v>
      </c>
      <c r="S5" s="74" t="s">
        <v>232</v>
      </c>
      <c r="T5" s="74" t="s">
        <v>233</v>
      </c>
      <c r="U5" s="74" t="s">
        <v>124</v>
      </c>
      <c r="V5" s="74" t="s">
        <v>234</v>
      </c>
      <c r="W5" s="74" t="s">
        <v>235</v>
      </c>
      <c r="X5" s="74" t="s">
        <v>236</v>
      </c>
      <c r="Y5" s="74" t="s">
        <v>237</v>
      </c>
      <c r="Z5" s="74" t="s">
        <v>238</v>
      </c>
      <c r="AA5" s="74" t="s">
        <v>128</v>
      </c>
      <c r="AB5" s="74" t="s">
        <v>239</v>
      </c>
      <c r="AC5" s="74" t="s">
        <v>240</v>
      </c>
      <c r="AD5" s="74" t="s">
        <v>241</v>
      </c>
      <c r="AE5" s="74" t="s">
        <v>242</v>
      </c>
      <c r="AF5" s="74" t="s">
        <v>107</v>
      </c>
      <c r="AG5" s="74" t="s">
        <v>243</v>
      </c>
      <c r="AH5" s="74" t="s">
        <v>244</v>
      </c>
      <c r="AI5" s="74" t="s">
        <v>245</v>
      </c>
      <c r="AJ5" s="74" t="s">
        <v>246</v>
      </c>
      <c r="AK5" s="74" t="s">
        <v>247</v>
      </c>
      <c r="AL5" s="74" t="s">
        <v>248</v>
      </c>
      <c r="AM5" s="74" t="s">
        <v>112</v>
      </c>
      <c r="AN5" s="74" t="s">
        <v>249</v>
      </c>
      <c r="AO5" s="74" t="s">
        <v>117</v>
      </c>
      <c r="AP5" s="74" t="s">
        <v>250</v>
      </c>
      <c r="AQ5" s="74" t="s">
        <v>251</v>
      </c>
      <c r="AR5" s="74" t="s">
        <v>252</v>
      </c>
      <c r="AS5" s="74" t="s">
        <v>253</v>
      </c>
      <c r="AT5" s="74" t="s">
        <v>254</v>
      </c>
      <c r="AU5" s="74" t="s">
        <v>255</v>
      </c>
      <c r="AV5" s="74" t="s">
        <v>256</v>
      </c>
      <c r="AW5" s="74" t="s">
        <v>257</v>
      </c>
      <c r="AX5" s="74" t="s">
        <v>258</v>
      </c>
      <c r="AY5" s="74" t="s">
        <v>259</v>
      </c>
      <c r="AZ5" s="74" t="s">
        <v>260</v>
      </c>
      <c r="BA5" s="74" t="s">
        <v>22</v>
      </c>
      <c r="BB5" s="74" t="s">
        <v>134</v>
      </c>
      <c r="BC5" s="74" t="s">
        <v>261</v>
      </c>
      <c r="BD5" s="74" t="s">
        <v>262</v>
      </c>
      <c r="BE5" s="74" t="s">
        <v>263</v>
      </c>
      <c r="BF5" s="74" t="s">
        <v>264</v>
      </c>
      <c r="BG5" s="74" t="s">
        <v>136</v>
      </c>
      <c r="BH5" s="74" t="s">
        <v>265</v>
      </c>
      <c r="BI5" s="74" t="s">
        <v>137</v>
      </c>
      <c r="BJ5" s="74" t="s">
        <v>266</v>
      </c>
      <c r="BK5" s="74" t="s">
        <v>267</v>
      </c>
      <c r="BL5" s="74" t="s">
        <v>268</v>
      </c>
      <c r="BM5" s="70" t="s">
        <v>269</v>
      </c>
      <c r="BN5" s="70" t="s">
        <v>132</v>
      </c>
      <c r="BO5" s="70" t="s">
        <v>270</v>
      </c>
      <c r="BP5" s="70" t="s">
        <v>271</v>
      </c>
    </row>
    <row r="6" spans="1:68">
      <c r="B6" s="35" t="s">
        <v>17</v>
      </c>
      <c r="C6" s="35" t="s">
        <v>224</v>
      </c>
      <c r="E6" s="38">
        <v>2.3E-2</v>
      </c>
      <c r="F6" s="38">
        <v>2.3093776151516421E-2</v>
      </c>
      <c r="G6" s="38">
        <v>1.3853157728835643E-2</v>
      </c>
      <c r="I6" s="69" t="s">
        <v>224</v>
      </c>
      <c r="J6" s="37">
        <v>1</v>
      </c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</row>
    <row r="7" spans="1:68">
      <c r="B7" s="35" t="s">
        <v>17</v>
      </c>
      <c r="C7" s="35" t="s">
        <v>225</v>
      </c>
      <c r="E7" s="38">
        <v>1.3000000000000001E-2</v>
      </c>
      <c r="F7" s="38">
        <v>1.3008885838231787E-2</v>
      </c>
      <c r="G7" s="38">
        <v>4.2430063694489581E-3</v>
      </c>
      <c r="I7" s="69" t="s">
        <v>225</v>
      </c>
      <c r="J7" s="37">
        <v>4.6523310575545311E-2</v>
      </c>
      <c r="K7" s="37">
        <v>1.0000000000000002</v>
      </c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</row>
    <row r="8" spans="1:68">
      <c r="B8" s="35" t="s">
        <v>17</v>
      </c>
      <c r="C8" s="35" t="s">
        <v>226</v>
      </c>
      <c r="E8" s="38">
        <v>2.1000000000000001E-2</v>
      </c>
      <c r="F8" s="38">
        <v>2.1384976807572675E-2</v>
      </c>
      <c r="G8" s="38">
        <v>2.8051094458637592E-2</v>
      </c>
      <c r="I8" s="69" t="s">
        <v>226</v>
      </c>
      <c r="J8" s="37">
        <v>-0.21012159005490363</v>
      </c>
      <c r="K8" s="37">
        <v>0.22242384757025063</v>
      </c>
      <c r="L8" s="37">
        <v>1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</row>
    <row r="9" spans="1:68">
      <c r="B9" s="35" t="s">
        <v>17</v>
      </c>
      <c r="C9" s="35" t="s">
        <v>227</v>
      </c>
      <c r="E9" s="38">
        <v>1.7999999999999999E-2</v>
      </c>
      <c r="F9" s="38">
        <v>2.4446688756906365E-2</v>
      </c>
      <c r="G9" s="38">
        <v>0.11547429020472094</v>
      </c>
      <c r="I9" s="69" t="s">
        <v>227</v>
      </c>
      <c r="J9" s="37">
        <v>-0.17289506409441421</v>
      </c>
      <c r="K9" s="37">
        <v>7.2432091469867579E-2</v>
      </c>
      <c r="L9" s="37">
        <v>0.81511080690890914</v>
      </c>
      <c r="M9" s="37">
        <v>1</v>
      </c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</row>
    <row r="10" spans="1:68">
      <c r="B10" s="35" t="s">
        <v>17</v>
      </c>
      <c r="C10" s="35" t="s">
        <v>228</v>
      </c>
      <c r="E10" s="38">
        <v>2.1000000000000001E-2</v>
      </c>
      <c r="F10" s="38">
        <v>2.2300587657658077E-2</v>
      </c>
      <c r="G10" s="38">
        <v>5.1616530878048378E-2</v>
      </c>
      <c r="I10" s="69" t="s">
        <v>228</v>
      </c>
      <c r="J10" s="37">
        <v>7.5992989502009375E-2</v>
      </c>
      <c r="K10" s="37">
        <v>6.9478242302985216E-2</v>
      </c>
      <c r="L10" s="37">
        <v>0.57108124023140672</v>
      </c>
      <c r="M10" s="37">
        <v>0.53027947414218823</v>
      </c>
      <c r="N10" s="37">
        <v>1</v>
      </c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</row>
    <row r="11" spans="1:68">
      <c r="B11" s="35" t="s">
        <v>17</v>
      </c>
      <c r="C11" s="35" t="s">
        <v>18</v>
      </c>
      <c r="E11" s="38">
        <v>2.6000000000000002E-2</v>
      </c>
      <c r="F11" s="38">
        <v>2.6590613587835765E-2</v>
      </c>
      <c r="G11" s="38">
        <v>3.4837967902900599E-2</v>
      </c>
      <c r="I11" s="69" t="s">
        <v>18</v>
      </c>
      <c r="J11" s="37">
        <v>-0.17218281913745526</v>
      </c>
      <c r="K11" s="37">
        <v>0.10163721937056051</v>
      </c>
      <c r="L11" s="37">
        <v>0.78413772986596186</v>
      </c>
      <c r="M11" s="37">
        <v>0.81513024722716709</v>
      </c>
      <c r="N11" s="37">
        <v>0.72333430275750221</v>
      </c>
      <c r="O11" s="37">
        <v>0.99999999999999978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</row>
    <row r="12" spans="1:68">
      <c r="B12" s="35" t="s">
        <v>17</v>
      </c>
      <c r="C12" s="35" t="s">
        <v>229</v>
      </c>
      <c r="E12" s="38">
        <v>3.1E-2</v>
      </c>
      <c r="F12" s="38">
        <v>3.1266162742432657E-2</v>
      </c>
      <c r="G12" s="38">
        <v>2.3434629527329793E-2</v>
      </c>
      <c r="I12" s="69" t="s">
        <v>229</v>
      </c>
      <c r="J12" s="37">
        <v>-0.16658706530713446</v>
      </c>
      <c r="K12" s="37">
        <v>0.14691553060766191</v>
      </c>
      <c r="L12" s="37">
        <v>0.75084423393156363</v>
      </c>
      <c r="M12" s="37">
        <v>0.68446885400820145</v>
      </c>
      <c r="N12" s="37">
        <v>0.639852685537314</v>
      </c>
      <c r="O12" s="37">
        <v>0.88595953277429496</v>
      </c>
      <c r="P12" s="37">
        <v>1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</row>
    <row r="13" spans="1:68">
      <c r="B13" s="35" t="s">
        <v>17</v>
      </c>
      <c r="C13" s="35" t="s">
        <v>230</v>
      </c>
      <c r="E13" s="38">
        <v>2.1000000000000001E-2</v>
      </c>
      <c r="F13" s="38">
        <v>2.110993971687658E-2</v>
      </c>
      <c r="G13" s="38">
        <v>1.4985237428052573E-2</v>
      </c>
      <c r="I13" s="69" t="s">
        <v>230</v>
      </c>
      <c r="J13" s="37">
        <v>-0.19450301400985157</v>
      </c>
      <c r="K13" s="37">
        <v>0.35216859555977148</v>
      </c>
      <c r="L13" s="37">
        <v>0.76704714380083094</v>
      </c>
      <c r="M13" s="37">
        <v>0.49375795303485648</v>
      </c>
      <c r="N13" s="37">
        <v>0.57726042552888601</v>
      </c>
      <c r="O13" s="37">
        <v>0.75779264384389855</v>
      </c>
      <c r="P13" s="37">
        <v>0.71054746387777923</v>
      </c>
      <c r="Q13" s="37">
        <v>0.99999999999999989</v>
      </c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</row>
    <row r="14" spans="1:68">
      <c r="B14" s="35" t="s">
        <v>17</v>
      </c>
      <c r="C14" s="35" t="s">
        <v>231</v>
      </c>
      <c r="E14" s="38">
        <v>2.3E-2</v>
      </c>
      <c r="F14" s="38">
        <v>2.7381029398475532E-2</v>
      </c>
      <c r="G14" s="38">
        <v>9.5183414416041806E-2</v>
      </c>
      <c r="I14" s="69" t="s">
        <v>231</v>
      </c>
      <c r="J14" s="37">
        <v>-0.16695575270010701</v>
      </c>
      <c r="K14" s="37">
        <v>1.1031894964631406E-2</v>
      </c>
      <c r="L14" s="37">
        <v>0.65845119384379369</v>
      </c>
      <c r="M14" s="37">
        <v>0.87535670576520985</v>
      </c>
      <c r="N14" s="37">
        <v>0.6319776006595681</v>
      </c>
      <c r="O14" s="37">
        <v>0.92836772663221645</v>
      </c>
      <c r="P14" s="37">
        <v>0.7189684967373452</v>
      </c>
      <c r="Q14" s="37">
        <v>0.54852616471758942</v>
      </c>
      <c r="R14" s="37">
        <v>1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</row>
    <row r="15" spans="1:68">
      <c r="B15" s="35" t="s">
        <v>17</v>
      </c>
      <c r="C15" s="35" t="s">
        <v>232</v>
      </c>
      <c r="E15" s="38">
        <v>2.8000000000000004E-2</v>
      </c>
      <c r="F15" s="38">
        <v>2.9970393237241488E-2</v>
      </c>
      <c r="G15" s="38">
        <v>6.3801022906608953E-2</v>
      </c>
      <c r="I15" s="69" t="s">
        <v>232</v>
      </c>
      <c r="J15" s="37">
        <v>-9.6559531910378402E-2</v>
      </c>
      <c r="K15" s="37">
        <v>-5.8338947327936531E-3</v>
      </c>
      <c r="L15" s="37">
        <v>0.33262193090728553</v>
      </c>
      <c r="M15" s="37">
        <v>0.45552626390279521</v>
      </c>
      <c r="N15" s="37">
        <v>0.65854997644322599</v>
      </c>
      <c r="O15" s="37">
        <v>0.77279921653555805</v>
      </c>
      <c r="P15" s="37">
        <v>0.58499239598997332</v>
      </c>
      <c r="Q15" s="37">
        <v>0.50640497517611205</v>
      </c>
      <c r="R15" s="37">
        <v>0.76820707264609067</v>
      </c>
      <c r="S15" s="37">
        <v>1</v>
      </c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</row>
    <row r="16" spans="1:68">
      <c r="B16" s="35" t="s">
        <v>17</v>
      </c>
      <c r="C16" s="35" t="s">
        <v>233</v>
      </c>
      <c r="E16" s="38">
        <v>2.4E-2</v>
      </c>
      <c r="F16" s="38">
        <v>2.9281109694914598E-2</v>
      </c>
      <c r="G16" s="38">
        <v>0.10466966776325848</v>
      </c>
      <c r="I16" s="69" t="s">
        <v>233</v>
      </c>
      <c r="J16" s="37">
        <v>-0.12930135665160486</v>
      </c>
      <c r="K16" s="37">
        <v>-3.1486379106860175E-2</v>
      </c>
      <c r="L16" s="37">
        <v>0.33771413056119404</v>
      </c>
      <c r="M16" s="37">
        <v>0.56300975143598764</v>
      </c>
      <c r="N16" s="37">
        <v>0.59706263487115163</v>
      </c>
      <c r="O16" s="37">
        <v>0.79015592728873352</v>
      </c>
      <c r="P16" s="37">
        <v>0.56758347889402372</v>
      </c>
      <c r="Q16" s="37">
        <v>0.43303257502945647</v>
      </c>
      <c r="R16" s="37">
        <v>0.86587042259260083</v>
      </c>
      <c r="S16" s="37">
        <v>0.95892954505719719</v>
      </c>
      <c r="T16" s="37">
        <v>1</v>
      </c>
      <c r="U16" s="37"/>
      <c r="V16" s="37"/>
      <c r="W16" s="37"/>
      <c r="X16" s="37"/>
      <c r="Y16" s="37"/>
      <c r="Z16" s="37"/>
      <c r="AA16" s="37"/>
      <c r="AB16" s="37"/>
      <c r="AC16" s="37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</row>
    <row r="17" spans="2:68">
      <c r="B17" s="35" t="s">
        <v>17</v>
      </c>
      <c r="C17" s="35" t="s">
        <v>124</v>
      </c>
      <c r="E17" s="38">
        <v>3.9E-2</v>
      </c>
      <c r="F17" s="38">
        <v>4.2239059741024043E-2</v>
      </c>
      <c r="G17" s="38">
        <v>8.2361123183373547E-2</v>
      </c>
      <c r="I17" s="69" t="s">
        <v>124</v>
      </c>
      <c r="J17" s="37">
        <v>0.10369698990922019</v>
      </c>
      <c r="K17" s="37">
        <v>-0.12425713785955377</v>
      </c>
      <c r="L17" s="37">
        <v>-0.28240602147298421</v>
      </c>
      <c r="M17" s="37">
        <v>-0.22540006033590185</v>
      </c>
      <c r="N17" s="37">
        <v>0.33805718576918026</v>
      </c>
      <c r="O17" s="37">
        <v>0.19805338735146552</v>
      </c>
      <c r="P17" s="37">
        <v>0.147503777826203</v>
      </c>
      <c r="Q17" s="37">
        <v>0.11235215537414744</v>
      </c>
      <c r="R17" s="37">
        <v>0.15928480132329487</v>
      </c>
      <c r="S17" s="37">
        <v>0.57973574139490858</v>
      </c>
      <c r="T17" s="37">
        <v>0.49949768200917882</v>
      </c>
      <c r="U17" s="37">
        <v>1</v>
      </c>
      <c r="V17" s="37"/>
      <c r="W17" s="37"/>
      <c r="X17" s="37"/>
      <c r="Y17" s="37"/>
      <c r="Z17" s="37"/>
      <c r="AA17" s="37"/>
      <c r="AB17" s="37"/>
      <c r="AC17" s="37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</row>
    <row r="18" spans="2:68">
      <c r="B18" s="35" t="s">
        <v>17</v>
      </c>
      <c r="C18" s="35" t="s">
        <v>234</v>
      </c>
      <c r="E18" s="38">
        <v>4.7E-2</v>
      </c>
      <c r="F18" s="38">
        <v>4.9952053592729584E-2</v>
      </c>
      <c r="G18" s="38">
        <v>7.8900390868809664E-2</v>
      </c>
      <c r="I18" s="69" t="s">
        <v>234</v>
      </c>
      <c r="J18" s="37">
        <v>0.26750950172100574</v>
      </c>
      <c r="K18" s="37">
        <v>-0.14959864007181553</v>
      </c>
      <c r="L18" s="37">
        <v>-0.52192191514137798</v>
      </c>
      <c r="M18" s="37">
        <v>-0.41493156083662042</v>
      </c>
      <c r="N18" s="37">
        <v>0.11690912103302308</v>
      </c>
      <c r="O18" s="37">
        <v>-5.4765064335884434E-2</v>
      </c>
      <c r="P18" s="37">
        <v>-9.268210639256369E-2</v>
      </c>
      <c r="Q18" s="37">
        <v>-0.12766758281458152</v>
      </c>
      <c r="R18" s="37">
        <v>-6.3863812294098377E-2</v>
      </c>
      <c r="S18" s="37">
        <v>0.36944890365269928</v>
      </c>
      <c r="T18" s="37">
        <v>0.28987964993796161</v>
      </c>
      <c r="U18" s="37">
        <v>0.80843774535347057</v>
      </c>
      <c r="V18" s="37">
        <v>1</v>
      </c>
      <c r="W18" s="37"/>
      <c r="X18" s="37"/>
      <c r="Y18" s="37"/>
      <c r="Z18" s="37"/>
      <c r="AA18" s="37"/>
      <c r="AB18" s="37"/>
      <c r="AC18" s="37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</row>
    <row r="19" spans="2:68">
      <c r="B19" s="35" t="s">
        <v>17</v>
      </c>
      <c r="C19" s="35" t="s">
        <v>235</v>
      </c>
      <c r="E19" s="38">
        <v>0.02</v>
      </c>
      <c r="F19" s="38">
        <v>2.0460758317442318E-2</v>
      </c>
      <c r="G19" s="38">
        <v>3.0675867426395043E-2</v>
      </c>
      <c r="I19" s="69" t="s">
        <v>235</v>
      </c>
      <c r="J19" s="37">
        <v>-0.24780184858775825</v>
      </c>
      <c r="K19" s="37">
        <v>0.11750497063334372</v>
      </c>
      <c r="L19" s="37">
        <v>0.82116556148195585</v>
      </c>
      <c r="M19" s="37">
        <v>0.85639448008102093</v>
      </c>
      <c r="N19" s="37">
        <v>0.49991065091981551</v>
      </c>
      <c r="O19" s="37">
        <v>0.81977731723677172</v>
      </c>
      <c r="P19" s="37">
        <v>0.6920337396028029</v>
      </c>
      <c r="Q19" s="37">
        <v>0.61659760560873988</v>
      </c>
      <c r="R19" s="37">
        <v>0.80481995984982591</v>
      </c>
      <c r="S19" s="37">
        <v>0.48514817041537167</v>
      </c>
      <c r="T19" s="37">
        <v>0.54694178835684881</v>
      </c>
      <c r="U19" s="37">
        <v>-0.15969111729696892</v>
      </c>
      <c r="V19" s="37">
        <v>-0.38148196154008041</v>
      </c>
      <c r="W19" s="37">
        <v>1.0000000000000002</v>
      </c>
      <c r="X19" s="37"/>
      <c r="Y19" s="37"/>
      <c r="Z19" s="37"/>
      <c r="AA19" s="37"/>
      <c r="AB19" s="37"/>
      <c r="AC19" s="37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8"/>
      <c r="BO19" s="68"/>
      <c r="BP19" s="68"/>
    </row>
    <row r="20" spans="2:68">
      <c r="B20" s="35" t="s">
        <v>17</v>
      </c>
      <c r="C20" s="35" t="s">
        <v>236</v>
      </c>
      <c r="E20" s="38">
        <v>2.3E-2</v>
      </c>
      <c r="F20" s="38">
        <v>2.4851735328916158E-2</v>
      </c>
      <c r="G20" s="38">
        <v>6.169132791291751E-2</v>
      </c>
      <c r="I20" s="69" t="s">
        <v>236</v>
      </c>
      <c r="J20" s="37">
        <v>-8.6142810488529203E-2</v>
      </c>
      <c r="K20" s="37">
        <v>9.4414612547549098E-2</v>
      </c>
      <c r="L20" s="37">
        <v>0.64444136261994789</v>
      </c>
      <c r="M20" s="37">
        <v>0.52644530605373407</v>
      </c>
      <c r="N20" s="37">
        <v>0.60624847203435328</v>
      </c>
      <c r="O20" s="37">
        <v>0.71160461180265944</v>
      </c>
      <c r="P20" s="37">
        <v>0.61946163248094166</v>
      </c>
      <c r="Q20" s="37">
        <v>0.66341622153056401</v>
      </c>
      <c r="R20" s="37">
        <v>0.62460286191825443</v>
      </c>
      <c r="S20" s="37">
        <v>0.5321941627828819</v>
      </c>
      <c r="T20" s="37">
        <v>0.53093201417803837</v>
      </c>
      <c r="U20" s="37">
        <v>0.17087024571301451</v>
      </c>
      <c r="V20" s="37">
        <v>-0.12927269078665093</v>
      </c>
      <c r="W20" s="37">
        <v>0.59868782312397362</v>
      </c>
      <c r="X20" s="37">
        <v>1</v>
      </c>
      <c r="Y20" s="37"/>
      <c r="Z20" s="37"/>
      <c r="AA20" s="37"/>
      <c r="AB20" s="37"/>
      <c r="AC20" s="37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8"/>
      <c r="BO20" s="68"/>
      <c r="BP20" s="68"/>
    </row>
    <row r="21" spans="2:68">
      <c r="B21" s="35" t="s">
        <v>17</v>
      </c>
      <c r="C21" s="35" t="s">
        <v>237</v>
      </c>
      <c r="E21" s="38">
        <v>0.02</v>
      </c>
      <c r="F21" s="38">
        <v>2.0457330865364387E-2</v>
      </c>
      <c r="G21" s="38">
        <v>3.0561431545186167E-2</v>
      </c>
      <c r="I21" s="69" t="s">
        <v>237</v>
      </c>
      <c r="J21" s="37">
        <v>-0.24989772569488747</v>
      </c>
      <c r="K21" s="37">
        <v>8.1453536353764233E-2</v>
      </c>
      <c r="L21" s="37">
        <v>0.64743304501038468</v>
      </c>
      <c r="M21" s="37">
        <v>0.70295187915581492</v>
      </c>
      <c r="N21" s="37">
        <v>0.41988134821474515</v>
      </c>
      <c r="O21" s="37">
        <v>0.72212548637928875</v>
      </c>
      <c r="P21" s="37">
        <v>0.57997659491288567</v>
      </c>
      <c r="Q21" s="37">
        <v>0.51157192211502167</v>
      </c>
      <c r="R21" s="37">
        <v>0.72587124654009072</v>
      </c>
      <c r="S21" s="37">
        <v>0.48448095564511656</v>
      </c>
      <c r="T21" s="37">
        <v>0.54317370523448705</v>
      </c>
      <c r="U21" s="37">
        <v>-7.4297733474678038E-2</v>
      </c>
      <c r="V21" s="37">
        <v>-0.26691976050665883</v>
      </c>
      <c r="W21" s="37">
        <v>0.95431141823200449</v>
      </c>
      <c r="X21" s="37">
        <v>0.52557948171498747</v>
      </c>
      <c r="Y21" s="37">
        <v>0.99999999999999989</v>
      </c>
      <c r="Z21" s="37"/>
      <c r="AA21" s="37"/>
      <c r="AB21" s="37"/>
      <c r="AC21" s="37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  <c r="AX21" s="68"/>
      <c r="AY21" s="68"/>
      <c r="AZ21" s="68"/>
      <c r="BA21" s="68"/>
      <c r="BB21" s="68"/>
      <c r="BC21" s="68"/>
      <c r="BD21" s="68"/>
      <c r="BE21" s="68"/>
      <c r="BF21" s="68"/>
      <c r="BG21" s="68"/>
      <c r="BH21" s="68"/>
      <c r="BI21" s="68"/>
      <c r="BJ21" s="68"/>
      <c r="BK21" s="68"/>
      <c r="BL21" s="68"/>
      <c r="BM21" s="68"/>
      <c r="BN21" s="68"/>
      <c r="BO21" s="68"/>
      <c r="BP21" s="68"/>
    </row>
    <row r="22" spans="2:68">
      <c r="B22" s="35" t="s">
        <v>17</v>
      </c>
      <c r="C22" s="35" t="s">
        <v>238</v>
      </c>
      <c r="E22" s="38">
        <v>2.4E-2</v>
      </c>
      <c r="F22" s="38">
        <v>2.6865370631397267E-2</v>
      </c>
      <c r="G22" s="38">
        <v>7.6872769944246633E-2</v>
      </c>
      <c r="I22" s="69" t="s">
        <v>238</v>
      </c>
      <c r="J22" s="37">
        <v>-5.8995326534578819E-2</v>
      </c>
      <c r="K22" s="37">
        <v>6.8806237999454553E-2</v>
      </c>
      <c r="L22" s="37">
        <v>0.50569550457541967</v>
      </c>
      <c r="M22" s="37">
        <v>0.38321810063723999</v>
      </c>
      <c r="N22" s="37">
        <v>0.56319333927186221</v>
      </c>
      <c r="O22" s="37">
        <v>0.61457601827743924</v>
      </c>
      <c r="P22" s="37">
        <v>0.52874446158281796</v>
      </c>
      <c r="Q22" s="37">
        <v>0.58006437524073007</v>
      </c>
      <c r="R22" s="37">
        <v>0.5309807421292374</v>
      </c>
      <c r="S22" s="37">
        <v>0.5202460782279873</v>
      </c>
      <c r="T22" s="37">
        <v>0.50628266862727744</v>
      </c>
      <c r="U22" s="37">
        <v>0.26211078322130366</v>
      </c>
      <c r="V22" s="37">
        <v>-3.029896965888814E-2</v>
      </c>
      <c r="W22" s="37">
        <v>0.48177352318661082</v>
      </c>
      <c r="X22" s="37">
        <v>0.98007475460774518</v>
      </c>
      <c r="Y22" s="37">
        <v>0.4455216872744468</v>
      </c>
      <c r="Z22" s="37">
        <v>1</v>
      </c>
      <c r="AA22" s="37"/>
      <c r="AB22" s="37"/>
      <c r="AC22" s="37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</row>
    <row r="23" spans="2:68">
      <c r="B23" s="35" t="s">
        <v>17</v>
      </c>
      <c r="C23" s="35" t="s">
        <v>128</v>
      </c>
      <c r="E23" s="38">
        <v>5.2000000000000005E-2</v>
      </c>
      <c r="F23" s="38">
        <v>5.5745672935597845E-2</v>
      </c>
      <c r="G23" s="38">
        <v>8.9169760461141598E-2</v>
      </c>
      <c r="I23" s="69" t="s">
        <v>128</v>
      </c>
      <c r="J23" s="37">
        <v>2.5684313219328136E-2</v>
      </c>
      <c r="K23" s="37">
        <v>-2.3018617299662928E-2</v>
      </c>
      <c r="L23" s="37">
        <v>0.11539943730991566</v>
      </c>
      <c r="M23" s="37">
        <v>0.14101717864514199</v>
      </c>
      <c r="N23" s="37">
        <v>0.57308567847004166</v>
      </c>
      <c r="O23" s="37">
        <v>0.51525380005642685</v>
      </c>
      <c r="P23" s="37">
        <v>0.43856003685754336</v>
      </c>
      <c r="Q23" s="37">
        <v>0.32409554986616657</v>
      </c>
      <c r="R23" s="37">
        <v>0.462307918187294</v>
      </c>
      <c r="S23" s="37">
        <v>0.76943888123207105</v>
      </c>
      <c r="T23" s="37">
        <v>0.692967435120317</v>
      </c>
      <c r="U23" s="37">
        <v>0.71907379546335404</v>
      </c>
      <c r="V23" s="37">
        <v>0.4573401291693957</v>
      </c>
      <c r="W23" s="37">
        <v>0.22678198452652112</v>
      </c>
      <c r="X23" s="37">
        <v>0.4705431294531835</v>
      </c>
      <c r="Y23" s="37">
        <v>0.26958829849558447</v>
      </c>
      <c r="Z23" s="37">
        <v>0.51935290848456439</v>
      </c>
      <c r="AA23" s="37">
        <v>1</v>
      </c>
      <c r="AB23" s="37"/>
      <c r="AC23" s="37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68"/>
      <c r="BA23" s="68"/>
      <c r="BB23" s="68"/>
      <c r="BC23" s="68"/>
      <c r="BD23" s="68"/>
      <c r="BE23" s="68"/>
      <c r="BF23" s="68"/>
      <c r="BG23" s="68"/>
      <c r="BH23" s="68"/>
      <c r="BI23" s="68"/>
      <c r="BJ23" s="68"/>
      <c r="BK23" s="68"/>
      <c r="BL23" s="68"/>
      <c r="BM23" s="68"/>
      <c r="BN23" s="68"/>
      <c r="BO23" s="68"/>
      <c r="BP23" s="68"/>
    </row>
    <row r="24" spans="2:68">
      <c r="B24" s="35" t="s">
        <v>17</v>
      </c>
      <c r="C24" s="35" t="s">
        <v>239</v>
      </c>
      <c r="E24" s="38">
        <v>5.8999999999999997E-2</v>
      </c>
      <c r="F24" s="38">
        <v>6.5795368726097481E-2</v>
      </c>
      <c r="G24" s="38">
        <v>0.12093247403049436</v>
      </c>
      <c r="I24" s="69" t="s">
        <v>239</v>
      </c>
      <c r="J24" s="37">
        <v>4.9473547508413956E-2</v>
      </c>
      <c r="K24" s="37">
        <v>7.9483459870422477E-2</v>
      </c>
      <c r="L24" s="37">
        <v>6.7441579038608493E-2</v>
      </c>
      <c r="M24" s="37">
        <v>5.7215916620145134E-3</v>
      </c>
      <c r="N24" s="37">
        <v>0.4173225685478969</v>
      </c>
      <c r="O24" s="37">
        <v>0.35558543031861445</v>
      </c>
      <c r="P24" s="37">
        <v>0.29292971347411234</v>
      </c>
      <c r="Q24" s="37">
        <v>0.30825343084830631</v>
      </c>
      <c r="R24" s="37">
        <v>0.29697412064093864</v>
      </c>
      <c r="S24" s="37">
        <v>0.54691566385785373</v>
      </c>
      <c r="T24" s="37">
        <v>0.49083858783744305</v>
      </c>
      <c r="U24" s="37">
        <v>0.6151930199945802</v>
      </c>
      <c r="V24" s="37">
        <v>0.349520548167713</v>
      </c>
      <c r="W24" s="37">
        <v>0.10991210187353902</v>
      </c>
      <c r="X24" s="37">
        <v>0.56116258623278448</v>
      </c>
      <c r="Y24" s="37">
        <v>0.14787152433546752</v>
      </c>
      <c r="Z24" s="37">
        <v>0.63451826041165349</v>
      </c>
      <c r="AA24" s="37">
        <v>0.79361107598098635</v>
      </c>
      <c r="AB24" s="37">
        <v>1.0000000000000002</v>
      </c>
      <c r="AC24" s="37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8"/>
      <c r="BD24" s="68"/>
      <c r="BE24" s="68"/>
      <c r="BF24" s="68"/>
      <c r="BG24" s="68"/>
      <c r="BH24" s="68"/>
      <c r="BI24" s="68"/>
      <c r="BJ24" s="68"/>
      <c r="BK24" s="68"/>
      <c r="BL24" s="68"/>
      <c r="BM24" s="68"/>
      <c r="BN24" s="68"/>
      <c r="BO24" s="68"/>
      <c r="BP24" s="68"/>
    </row>
    <row r="25" spans="2:68">
      <c r="B25" s="35" t="s">
        <v>17</v>
      </c>
      <c r="C25" s="35" t="s">
        <v>240</v>
      </c>
      <c r="E25" s="38">
        <v>4.8000000000000001E-2</v>
      </c>
      <c r="F25" s="38">
        <v>5.129988925286133E-2</v>
      </c>
      <c r="G25" s="38">
        <v>8.3493421762909498E-2</v>
      </c>
      <c r="I25" s="69" t="s">
        <v>240</v>
      </c>
      <c r="J25" s="37">
        <v>8.2466143437608039E-2</v>
      </c>
      <c r="K25" s="37">
        <v>-4.8515462392885927E-2</v>
      </c>
      <c r="L25" s="37">
        <v>3.7879233142698072E-4</v>
      </c>
      <c r="M25" s="37">
        <v>2.9014287172260862E-2</v>
      </c>
      <c r="N25" s="37">
        <v>0.5157250697080239</v>
      </c>
      <c r="O25" s="37">
        <v>0.43109658605874912</v>
      </c>
      <c r="P25" s="37">
        <v>0.3507013011628401</v>
      </c>
      <c r="Q25" s="37">
        <v>0.31177583218120636</v>
      </c>
      <c r="R25" s="37">
        <v>0.37510843074119837</v>
      </c>
      <c r="S25" s="37">
        <v>0.77519700844038331</v>
      </c>
      <c r="T25" s="37">
        <v>0.67520299035629228</v>
      </c>
      <c r="U25" s="37">
        <v>0.74551404869910276</v>
      </c>
      <c r="V25" s="37">
        <v>0.58669637811817743</v>
      </c>
      <c r="W25" s="37">
        <v>0.10165138455356103</v>
      </c>
      <c r="X25" s="37">
        <v>0.35528525544832884</v>
      </c>
      <c r="Y25" s="37">
        <v>0.15470204647417346</v>
      </c>
      <c r="Z25" s="37">
        <v>0.40337729056793065</v>
      </c>
      <c r="AA25" s="37">
        <v>0.88743610269259043</v>
      </c>
      <c r="AB25" s="37">
        <v>0.70692957045970839</v>
      </c>
      <c r="AC25" s="37">
        <v>0.99999999999999989</v>
      </c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  <c r="AV25" s="68"/>
      <c r="AW25" s="68"/>
      <c r="AX25" s="68"/>
      <c r="AY25" s="68"/>
      <c r="AZ25" s="68"/>
      <c r="BA25" s="68"/>
      <c r="BB25" s="68"/>
      <c r="BC25" s="68"/>
      <c r="BD25" s="68"/>
      <c r="BE25" s="68"/>
      <c r="BF25" s="68"/>
      <c r="BG25" s="68"/>
      <c r="BH25" s="68"/>
      <c r="BI25" s="68"/>
      <c r="BJ25" s="68"/>
      <c r="BK25" s="68"/>
      <c r="BL25" s="68"/>
      <c r="BM25" s="68"/>
      <c r="BN25" s="68"/>
      <c r="BO25" s="68"/>
      <c r="BP25" s="68"/>
    </row>
    <row r="26" spans="2:68">
      <c r="B26" s="35" t="s">
        <v>17</v>
      </c>
      <c r="C26" s="35" t="s">
        <v>241</v>
      </c>
      <c r="E26" s="38">
        <v>2.1000000000000001E-2</v>
      </c>
      <c r="F26" s="38">
        <v>2.1515313433372985E-2</v>
      </c>
      <c r="G26" s="38">
        <v>3.245917908376534E-2</v>
      </c>
      <c r="I26" s="69" t="s">
        <v>241</v>
      </c>
      <c r="J26" s="37">
        <v>-7.6252253792857314E-2</v>
      </c>
      <c r="K26" s="37">
        <v>2.3635802483321693E-2</v>
      </c>
      <c r="L26" s="37">
        <v>0.38292085233899709</v>
      </c>
      <c r="M26" s="37">
        <v>0.38471589454863409</v>
      </c>
      <c r="N26" s="37">
        <v>0.48781232986064127</v>
      </c>
      <c r="O26" s="37">
        <v>0.59157290441287025</v>
      </c>
      <c r="P26" s="37">
        <v>0.54691142250165348</v>
      </c>
      <c r="Q26" s="37">
        <v>0.39059400030485025</v>
      </c>
      <c r="R26" s="37">
        <v>0.51443213169805713</v>
      </c>
      <c r="S26" s="37">
        <v>0.5564932046011497</v>
      </c>
      <c r="T26" s="37">
        <v>0.51099644321619986</v>
      </c>
      <c r="U26" s="37">
        <v>0.2660474522093817</v>
      </c>
      <c r="V26" s="37">
        <v>0.12261337653272919</v>
      </c>
      <c r="W26" s="37">
        <v>0.45458075512066348</v>
      </c>
      <c r="X26" s="37">
        <v>0.39000214032543107</v>
      </c>
      <c r="Y26" s="37">
        <v>0.4495824949727007</v>
      </c>
      <c r="Z26" s="37">
        <v>0.36381349073336683</v>
      </c>
      <c r="AA26" s="37">
        <v>0.52198012852226283</v>
      </c>
      <c r="AB26" s="37">
        <v>0.27414241312982662</v>
      </c>
      <c r="AC26" s="37">
        <v>0.35788955036301007</v>
      </c>
      <c r="AD26" s="68">
        <v>1.0000000000000002</v>
      </c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68"/>
      <c r="BA26" s="68"/>
      <c r="BB26" s="68"/>
      <c r="BC26" s="68"/>
      <c r="BD26" s="68"/>
      <c r="BE26" s="68"/>
      <c r="BF26" s="68"/>
      <c r="BG26" s="68"/>
      <c r="BH26" s="68"/>
      <c r="BI26" s="68"/>
      <c r="BJ26" s="68"/>
      <c r="BK26" s="68"/>
      <c r="BL26" s="68"/>
      <c r="BM26" s="68"/>
      <c r="BN26" s="68"/>
      <c r="BO26" s="68"/>
      <c r="BP26" s="68"/>
    </row>
    <row r="27" spans="2:68">
      <c r="B27" s="35" t="s">
        <v>17</v>
      </c>
      <c r="C27" s="35" t="s">
        <v>242</v>
      </c>
      <c r="E27" s="38">
        <v>2.9000000000000005E-2</v>
      </c>
      <c r="F27" s="38">
        <v>3.17859543231096E-2</v>
      </c>
      <c r="G27" s="38">
        <v>7.5976218758858516E-2</v>
      </c>
      <c r="I27" s="69" t="s">
        <v>242</v>
      </c>
      <c r="J27" s="37">
        <v>0.30872486596649651</v>
      </c>
      <c r="K27" s="37">
        <v>-6.2024235307039856E-2</v>
      </c>
      <c r="L27" s="37">
        <v>-8.1340907896623391E-2</v>
      </c>
      <c r="M27" s="37">
        <v>4.7968720120745968E-2</v>
      </c>
      <c r="N27" s="37">
        <v>0.35694968672659927</v>
      </c>
      <c r="O27" s="37">
        <v>0.19444247956256996</v>
      </c>
      <c r="P27" s="37">
        <v>0.15776426318894909</v>
      </c>
      <c r="Q27" s="37">
        <v>-4.6394827303256073E-2</v>
      </c>
      <c r="R27" s="37">
        <v>0.18855103403633416</v>
      </c>
      <c r="S27" s="37">
        <v>0.41303417617962668</v>
      </c>
      <c r="T27" s="37">
        <v>0.33683890164547958</v>
      </c>
      <c r="U27" s="37">
        <v>0.39485548520308783</v>
      </c>
      <c r="V27" s="37">
        <v>0.50335011188743073</v>
      </c>
      <c r="W27" s="37">
        <v>4.2044211884480959E-2</v>
      </c>
      <c r="X27" s="37">
        <v>1.6798618658966164E-2</v>
      </c>
      <c r="Y27" s="37">
        <v>8.1683286277049585E-2</v>
      </c>
      <c r="Z27" s="37">
        <v>3.9659424829357713E-2</v>
      </c>
      <c r="AA27" s="37">
        <v>0.47753966577637852</v>
      </c>
      <c r="AB27" s="37">
        <v>0.20205910689242382</v>
      </c>
      <c r="AC27" s="37">
        <v>0.44870750330618098</v>
      </c>
      <c r="AD27" s="68">
        <v>0.5267948941966285</v>
      </c>
      <c r="AE27" s="68">
        <v>1</v>
      </c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  <c r="AV27" s="68"/>
      <c r="AW27" s="68"/>
      <c r="AX27" s="68"/>
      <c r="AY27" s="68"/>
      <c r="AZ27" s="68"/>
      <c r="BA27" s="68"/>
      <c r="BB27" s="68"/>
      <c r="BC27" s="68"/>
      <c r="BD27" s="68"/>
      <c r="BE27" s="68"/>
      <c r="BF27" s="68"/>
      <c r="BG27" s="68"/>
      <c r="BH27" s="68"/>
      <c r="BI27" s="68"/>
      <c r="BJ27" s="68"/>
      <c r="BK27" s="68"/>
      <c r="BL27" s="68"/>
      <c r="BM27" s="68"/>
      <c r="BN27" s="68"/>
      <c r="BO27" s="68"/>
      <c r="BP27" s="68"/>
    </row>
    <row r="28" spans="2:68">
      <c r="B28" s="35" t="s">
        <v>13</v>
      </c>
      <c r="C28" s="35" t="s">
        <v>107</v>
      </c>
      <c r="E28" s="38">
        <v>4.1000000000000009E-2</v>
      </c>
      <c r="F28" s="38">
        <v>5.1560685328958078E-2</v>
      </c>
      <c r="G28" s="38">
        <v>0.15016499060694716</v>
      </c>
      <c r="I28" s="69" t="s">
        <v>107</v>
      </c>
      <c r="J28" s="37">
        <v>4.4962775750693414E-2</v>
      </c>
      <c r="K28" s="37">
        <v>-8.5914009967115554E-2</v>
      </c>
      <c r="L28" s="37">
        <v>-0.34485036828177024</v>
      </c>
      <c r="M28" s="37">
        <v>-0.30550102096685383</v>
      </c>
      <c r="N28" s="37">
        <v>0.1179636886643471</v>
      </c>
      <c r="O28" s="37">
        <v>1.3318862516968927E-2</v>
      </c>
      <c r="P28" s="37">
        <v>-3.3088044648188653E-2</v>
      </c>
      <c r="Q28" s="37">
        <v>-7.9315316149752499E-2</v>
      </c>
      <c r="R28" s="37">
        <v>2.1405455457185522E-2</v>
      </c>
      <c r="S28" s="37">
        <v>0.33293018855613637</v>
      </c>
      <c r="T28" s="37">
        <v>0.30134685237315179</v>
      </c>
      <c r="U28" s="37">
        <v>0.70916363192143717</v>
      </c>
      <c r="V28" s="37">
        <v>0.59523943872192375</v>
      </c>
      <c r="W28" s="37">
        <v>-0.23861545880590931</v>
      </c>
      <c r="X28" s="37">
        <v>0.12410314059958698</v>
      </c>
      <c r="Y28" s="37">
        <v>-0.14456922620979587</v>
      </c>
      <c r="Z28" s="37">
        <v>0.21804836250503201</v>
      </c>
      <c r="AA28" s="37">
        <v>0.53206840152471524</v>
      </c>
      <c r="AB28" s="37">
        <v>0.57669537697797479</v>
      </c>
      <c r="AC28" s="37">
        <v>0.55614384723367016</v>
      </c>
      <c r="AD28" s="68">
        <v>2.6431521088339512E-2</v>
      </c>
      <c r="AE28" s="68">
        <v>0.1823186389942977</v>
      </c>
      <c r="AF28" s="68">
        <v>1</v>
      </c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  <c r="AV28" s="68"/>
      <c r="AW28" s="68"/>
      <c r="AX28" s="68"/>
      <c r="AY28" s="68"/>
      <c r="AZ28" s="68"/>
      <c r="BA28" s="68"/>
      <c r="BB28" s="68"/>
      <c r="BC28" s="68"/>
      <c r="BD28" s="68"/>
      <c r="BE28" s="68"/>
      <c r="BF28" s="68"/>
      <c r="BG28" s="68"/>
      <c r="BH28" s="68"/>
      <c r="BI28" s="68"/>
      <c r="BJ28" s="68"/>
      <c r="BK28" s="68"/>
      <c r="BL28" s="68"/>
      <c r="BM28" s="68"/>
      <c r="BN28" s="68"/>
      <c r="BO28" s="68"/>
      <c r="BP28" s="68"/>
    </row>
    <row r="29" spans="2:68">
      <c r="B29" s="35" t="s">
        <v>13</v>
      </c>
      <c r="C29" s="35" t="s">
        <v>243</v>
      </c>
      <c r="E29" s="38">
        <v>4.2999999999999997E-2</v>
      </c>
      <c r="F29" s="38">
        <v>5.6515713162551107E-2</v>
      </c>
      <c r="G29" s="38">
        <v>0.17063601493309308</v>
      </c>
      <c r="I29" s="69" t="s">
        <v>243</v>
      </c>
      <c r="J29" s="37">
        <v>5.4658554181903511E-2</v>
      </c>
      <c r="K29" s="37">
        <v>-0.10311416297752014</v>
      </c>
      <c r="L29" s="37">
        <v>-0.36670606458512156</v>
      </c>
      <c r="M29" s="37">
        <v>-0.31113356409225024</v>
      </c>
      <c r="N29" s="37">
        <v>0.129577443817396</v>
      </c>
      <c r="O29" s="37">
        <v>1.5918459036683687E-2</v>
      </c>
      <c r="P29" s="37">
        <v>-3.4775526719551489E-2</v>
      </c>
      <c r="Q29" s="37">
        <v>-7.8062711094739848E-2</v>
      </c>
      <c r="R29" s="37">
        <v>2.323090355285749E-2</v>
      </c>
      <c r="S29" s="37">
        <v>0.35923671385173361</v>
      </c>
      <c r="T29" s="37">
        <v>0.31987999750259244</v>
      </c>
      <c r="U29" s="37">
        <v>0.75775162132771878</v>
      </c>
      <c r="V29" s="37">
        <v>0.63920873924778565</v>
      </c>
      <c r="W29" s="37">
        <v>-0.25236338189365876</v>
      </c>
      <c r="X29" s="37">
        <v>9.6385677480315041E-2</v>
      </c>
      <c r="Y29" s="37">
        <v>-0.15546154304075713</v>
      </c>
      <c r="Z29" s="37">
        <v>0.19280574006466542</v>
      </c>
      <c r="AA29" s="37">
        <v>0.54378364403175528</v>
      </c>
      <c r="AB29" s="37">
        <v>0.57920010034817815</v>
      </c>
      <c r="AC29" s="37">
        <v>0.57536578513825165</v>
      </c>
      <c r="AD29" s="68">
        <v>5.2281944816919342E-2</v>
      </c>
      <c r="AE29" s="68">
        <v>0.20052503134440397</v>
      </c>
      <c r="AF29" s="68">
        <v>0.96262171211746272</v>
      </c>
      <c r="AG29" s="68">
        <v>0.99999999999999989</v>
      </c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68"/>
      <c r="BA29" s="68"/>
      <c r="BB29" s="68"/>
      <c r="BC29" s="68"/>
      <c r="BD29" s="68"/>
      <c r="BE29" s="68"/>
      <c r="BF29" s="68"/>
      <c r="BG29" s="68"/>
      <c r="BH29" s="68"/>
      <c r="BI29" s="68"/>
      <c r="BJ29" s="68"/>
      <c r="BK29" s="68"/>
      <c r="BL29" s="68"/>
      <c r="BM29" s="68"/>
      <c r="BN29" s="68"/>
      <c r="BO29" s="68"/>
      <c r="BP29" s="68"/>
    </row>
    <row r="30" spans="2:68">
      <c r="B30" s="35" t="s">
        <v>13</v>
      </c>
      <c r="C30" s="35" t="s">
        <v>244</v>
      </c>
      <c r="E30" s="38">
        <v>4.3999999999999997E-2</v>
      </c>
      <c r="F30" s="38">
        <v>6.1655277581396328E-2</v>
      </c>
      <c r="G30" s="38">
        <v>0.19607125829766525</v>
      </c>
      <c r="I30" s="69" t="s">
        <v>244</v>
      </c>
      <c r="J30" s="37">
        <v>2.6752768268339815E-2</v>
      </c>
      <c r="K30" s="37">
        <v>-0.11076406193457715</v>
      </c>
      <c r="L30" s="37">
        <v>-0.3883426529745731</v>
      </c>
      <c r="M30" s="37">
        <v>-0.35914084544572344</v>
      </c>
      <c r="N30" s="37">
        <v>4.2594940103814524E-2</v>
      </c>
      <c r="O30" s="37">
        <v>-6.5367789634139098E-2</v>
      </c>
      <c r="P30" s="37">
        <v>-9.4138725367554729E-2</v>
      </c>
      <c r="Q30" s="37">
        <v>-0.13209844112757266</v>
      </c>
      <c r="R30" s="37">
        <v>-5.5048475477629533E-2</v>
      </c>
      <c r="S30" s="37">
        <v>0.25353766464730082</v>
      </c>
      <c r="T30" s="37">
        <v>0.22308210345618451</v>
      </c>
      <c r="U30" s="37">
        <v>0.67983911711519751</v>
      </c>
      <c r="V30" s="37">
        <v>0.56294111446664286</v>
      </c>
      <c r="W30" s="37">
        <v>-0.29469940092234942</v>
      </c>
      <c r="X30" s="37">
        <v>3.1921102143135864E-2</v>
      </c>
      <c r="Y30" s="37">
        <v>-0.19593713030902102</v>
      </c>
      <c r="Z30" s="37">
        <v>0.12643336737374114</v>
      </c>
      <c r="AA30" s="37">
        <v>0.44668384432886815</v>
      </c>
      <c r="AB30" s="37">
        <v>0.52014631514097887</v>
      </c>
      <c r="AC30" s="37">
        <v>0.47576763944632594</v>
      </c>
      <c r="AD30" s="68">
        <v>-1.4530344489439115E-2</v>
      </c>
      <c r="AE30" s="68">
        <v>0.10822449676501428</v>
      </c>
      <c r="AF30" s="68">
        <v>0.90596254008181509</v>
      </c>
      <c r="AG30" s="68">
        <v>0.94963625078289371</v>
      </c>
      <c r="AH30" s="68">
        <v>1</v>
      </c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  <c r="AV30" s="68"/>
      <c r="AW30" s="68"/>
      <c r="AX30" s="68"/>
      <c r="AY30" s="68"/>
      <c r="AZ30" s="68"/>
      <c r="BA30" s="68"/>
      <c r="BB30" s="68"/>
      <c r="BC30" s="68"/>
      <c r="BD30" s="68"/>
      <c r="BE30" s="68"/>
      <c r="BF30" s="68"/>
      <c r="BG30" s="68"/>
      <c r="BH30" s="68"/>
      <c r="BI30" s="68"/>
      <c r="BJ30" s="68"/>
      <c r="BK30" s="68"/>
      <c r="BL30" s="68"/>
      <c r="BM30" s="68"/>
      <c r="BN30" s="68"/>
      <c r="BO30" s="68"/>
      <c r="BP30" s="68"/>
    </row>
    <row r="31" spans="2:68">
      <c r="B31" s="35" t="s">
        <v>13</v>
      </c>
      <c r="C31" s="35" t="s">
        <v>245</v>
      </c>
      <c r="E31" s="38">
        <v>7.0999999999999994E-2</v>
      </c>
      <c r="F31" s="38">
        <v>9.1689597340313109E-2</v>
      </c>
      <c r="G31" s="38">
        <v>0.2156169090748834</v>
      </c>
      <c r="I31" s="69" t="s">
        <v>245</v>
      </c>
      <c r="J31" s="37">
        <v>3.7509511047287239E-2</v>
      </c>
      <c r="K31" s="37">
        <v>-2.1517839348684415E-2</v>
      </c>
      <c r="L31" s="37">
        <v>-0.25984206563693552</v>
      </c>
      <c r="M31" s="37">
        <v>-0.2792609629201302</v>
      </c>
      <c r="N31" s="37">
        <v>0.16050874131599771</v>
      </c>
      <c r="O31" s="37">
        <v>7.6827823731800374E-2</v>
      </c>
      <c r="P31" s="37">
        <v>3.9145486872144496E-2</v>
      </c>
      <c r="Q31" s="37">
        <v>5.4450048065688719E-2</v>
      </c>
      <c r="R31" s="37">
        <v>5.2647309643371831E-2</v>
      </c>
      <c r="S31" s="37">
        <v>0.38325035762189685</v>
      </c>
      <c r="T31" s="37">
        <v>0.33354574737168419</v>
      </c>
      <c r="U31" s="37">
        <v>0.7045781702955306</v>
      </c>
      <c r="V31" s="37">
        <v>0.5312633917120303</v>
      </c>
      <c r="W31" s="37">
        <v>-0.20088462386244482</v>
      </c>
      <c r="X31" s="37">
        <v>0.28813783923725339</v>
      </c>
      <c r="Y31" s="37">
        <v>-0.1250517763070367</v>
      </c>
      <c r="Z31" s="37">
        <v>0.38492992077181926</v>
      </c>
      <c r="AA31" s="37">
        <v>0.62261620478414847</v>
      </c>
      <c r="AB31" s="37">
        <v>0.70081331699788918</v>
      </c>
      <c r="AC31" s="37">
        <v>0.60855119621044373</v>
      </c>
      <c r="AD31" s="68">
        <v>8.9323175562586218E-2</v>
      </c>
      <c r="AE31" s="68">
        <v>0.18710749943126762</v>
      </c>
      <c r="AF31" s="68">
        <v>0.84847438079309401</v>
      </c>
      <c r="AG31" s="68">
        <v>0.82982195335820086</v>
      </c>
      <c r="AH31" s="68">
        <v>0.76203370214154798</v>
      </c>
      <c r="AI31" s="68">
        <v>0.99999999999999989</v>
      </c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  <c r="AV31" s="68"/>
      <c r="AW31" s="68"/>
      <c r="AX31" s="68"/>
      <c r="AY31" s="68"/>
      <c r="AZ31" s="68"/>
      <c r="BA31" s="68"/>
      <c r="BB31" s="68"/>
      <c r="BC31" s="68"/>
      <c r="BD31" s="68"/>
      <c r="BE31" s="68"/>
      <c r="BF31" s="68"/>
      <c r="BG31" s="68"/>
      <c r="BH31" s="68"/>
      <c r="BI31" s="68"/>
      <c r="BJ31" s="68"/>
      <c r="BK31" s="68"/>
      <c r="BL31" s="68"/>
      <c r="BM31" s="68"/>
      <c r="BN31" s="68"/>
      <c r="BO31" s="68"/>
      <c r="BP31" s="68"/>
    </row>
    <row r="32" spans="2:68">
      <c r="B32" s="35" t="s">
        <v>13</v>
      </c>
      <c r="C32" s="35" t="s">
        <v>246</v>
      </c>
      <c r="E32" s="38">
        <v>6.7000000000000004E-2</v>
      </c>
      <c r="F32" s="38">
        <v>7.7091108954285836E-2</v>
      </c>
      <c r="G32" s="38">
        <v>0.14848380466095468</v>
      </c>
      <c r="I32" s="69" t="s">
        <v>246</v>
      </c>
      <c r="J32" s="37">
        <v>-8.9142237634902404E-3</v>
      </c>
      <c r="K32" s="37">
        <v>-0.10789622812575975</v>
      </c>
      <c r="L32" s="37">
        <v>-0.30042406450552089</v>
      </c>
      <c r="M32" s="37">
        <v>-0.23535545047031442</v>
      </c>
      <c r="N32" s="37">
        <v>0.10781383499070633</v>
      </c>
      <c r="O32" s="37">
        <v>3.737896025351075E-2</v>
      </c>
      <c r="P32" s="37">
        <v>-7.6020300778305754E-3</v>
      </c>
      <c r="Q32" s="37">
        <v>-2.0222737675015735E-2</v>
      </c>
      <c r="R32" s="37">
        <v>6.3777959906016854E-2</v>
      </c>
      <c r="S32" s="37">
        <v>0.35418629096854304</v>
      </c>
      <c r="T32" s="37">
        <v>0.32632880776053902</v>
      </c>
      <c r="U32" s="37">
        <v>0.6179368059153757</v>
      </c>
      <c r="V32" s="37">
        <v>0.49429250690847476</v>
      </c>
      <c r="W32" s="37">
        <v>-0.21706681751601362</v>
      </c>
      <c r="X32" s="37">
        <v>0.1441271276222032</v>
      </c>
      <c r="Y32" s="37">
        <v>-0.14724968659013635</v>
      </c>
      <c r="Z32" s="37">
        <v>0.22570918164737336</v>
      </c>
      <c r="AA32" s="37">
        <v>0.48221538781941403</v>
      </c>
      <c r="AB32" s="37">
        <v>0.57146269919644666</v>
      </c>
      <c r="AC32" s="37">
        <v>0.52318871615076556</v>
      </c>
      <c r="AD32" s="68">
        <v>1.0939372229690991E-2</v>
      </c>
      <c r="AE32" s="68">
        <v>0.12377380218646303</v>
      </c>
      <c r="AF32" s="68">
        <v>0.7135059810016553</v>
      </c>
      <c r="AG32" s="68">
        <v>0.70395641265318165</v>
      </c>
      <c r="AH32" s="68">
        <v>0.64798726162772213</v>
      </c>
      <c r="AI32" s="68">
        <v>0.73747546456700486</v>
      </c>
      <c r="AJ32" s="68">
        <v>1.0000000000000002</v>
      </c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68"/>
      <c r="BA32" s="68"/>
      <c r="BB32" s="68"/>
      <c r="BC32" s="68"/>
      <c r="BD32" s="68"/>
      <c r="BE32" s="68"/>
      <c r="BF32" s="68"/>
      <c r="BG32" s="68"/>
      <c r="BH32" s="68"/>
      <c r="BI32" s="68"/>
      <c r="BJ32" s="68"/>
      <c r="BK32" s="68"/>
      <c r="BL32" s="68"/>
      <c r="BM32" s="68"/>
      <c r="BN32" s="68"/>
      <c r="BO32" s="68"/>
      <c r="BP32" s="68"/>
    </row>
    <row r="33" spans="2:68">
      <c r="B33" s="35" t="s">
        <v>13</v>
      </c>
      <c r="C33" s="35" t="s">
        <v>247</v>
      </c>
      <c r="E33" s="38">
        <v>6.9000000000000006E-2</v>
      </c>
      <c r="F33" s="38">
        <v>8.7131517255575552E-2</v>
      </c>
      <c r="G33" s="38">
        <v>0.20107546384311431</v>
      </c>
      <c r="I33" s="69" t="s">
        <v>247</v>
      </c>
      <c r="J33" s="37">
        <v>2.0157329973637711E-4</v>
      </c>
      <c r="K33" s="37">
        <v>-1.3578869216499161E-2</v>
      </c>
      <c r="L33" s="37">
        <v>-0.22394971523750565</v>
      </c>
      <c r="M33" s="37">
        <v>-0.22604247961115106</v>
      </c>
      <c r="N33" s="37">
        <v>0.20387358424235433</v>
      </c>
      <c r="O33" s="37">
        <v>0.12851129957764404</v>
      </c>
      <c r="P33" s="37">
        <v>9.4288728949940795E-2</v>
      </c>
      <c r="Q33" s="37">
        <v>0.10982436611388308</v>
      </c>
      <c r="R33" s="37">
        <v>9.0280968322045296E-2</v>
      </c>
      <c r="S33" s="37">
        <v>0.4292363161764412</v>
      </c>
      <c r="T33" s="37">
        <v>0.36997214730288397</v>
      </c>
      <c r="U33" s="37">
        <v>0.65464068274970033</v>
      </c>
      <c r="V33" s="37">
        <v>0.52353588837998533</v>
      </c>
      <c r="W33" s="37">
        <v>-0.17991069086967779</v>
      </c>
      <c r="X33" s="37">
        <v>0.21144466813225654</v>
      </c>
      <c r="Y33" s="37">
        <v>-0.12631053056728081</v>
      </c>
      <c r="Z33" s="37">
        <v>0.29154157887934384</v>
      </c>
      <c r="AA33" s="37">
        <v>0.58828208667754744</v>
      </c>
      <c r="AB33" s="37">
        <v>0.65444601343834008</v>
      </c>
      <c r="AC33" s="37">
        <v>0.62742815169537747</v>
      </c>
      <c r="AD33" s="68">
        <v>0.11389631132573431</v>
      </c>
      <c r="AE33" s="68">
        <v>0.24390713257646549</v>
      </c>
      <c r="AF33" s="68">
        <v>0.67745762637065998</v>
      </c>
      <c r="AG33" s="68">
        <v>0.67336901800422566</v>
      </c>
      <c r="AH33" s="68">
        <v>0.60807146034716708</v>
      </c>
      <c r="AI33" s="68">
        <v>0.72553406443804047</v>
      </c>
      <c r="AJ33" s="68">
        <v>0.62964289145541952</v>
      </c>
      <c r="AK33" s="68">
        <v>1</v>
      </c>
      <c r="AL33" s="68"/>
      <c r="AM33" s="68"/>
      <c r="AN33" s="68"/>
      <c r="AO33" s="68"/>
      <c r="AP33" s="68"/>
      <c r="AQ33" s="68"/>
      <c r="AR33" s="68"/>
      <c r="AS33" s="68"/>
      <c r="AT33" s="68"/>
      <c r="AU33" s="68"/>
      <c r="AV33" s="68"/>
      <c r="AW33" s="68"/>
      <c r="AX33" s="68"/>
      <c r="AY33" s="68"/>
      <c r="AZ33" s="68"/>
      <c r="BA33" s="68"/>
      <c r="BB33" s="68"/>
      <c r="BC33" s="68"/>
      <c r="BD33" s="68"/>
      <c r="BE33" s="68"/>
      <c r="BF33" s="68"/>
      <c r="BG33" s="68"/>
      <c r="BH33" s="68"/>
      <c r="BI33" s="68"/>
      <c r="BJ33" s="68"/>
      <c r="BK33" s="68"/>
      <c r="BL33" s="68"/>
      <c r="BM33" s="68"/>
      <c r="BN33" s="68"/>
      <c r="BO33" s="68"/>
      <c r="BP33" s="68"/>
    </row>
    <row r="34" spans="2:68">
      <c r="B34" s="35" t="s">
        <v>13</v>
      </c>
      <c r="C34" s="35" t="s">
        <v>248</v>
      </c>
      <c r="E34" s="38">
        <v>0.05</v>
      </c>
      <c r="F34" s="38">
        <v>6.3981990040958614E-2</v>
      </c>
      <c r="G34" s="38">
        <v>0.17421282106071201</v>
      </c>
      <c r="I34" s="69" t="s">
        <v>248</v>
      </c>
      <c r="J34" s="37">
        <v>7.8308631943322105E-2</v>
      </c>
      <c r="K34" s="37">
        <v>-5.0230536468049536E-2</v>
      </c>
      <c r="L34" s="37">
        <v>-0.34903480236815926</v>
      </c>
      <c r="M34" s="37">
        <v>-0.34140677145510295</v>
      </c>
      <c r="N34" s="37">
        <v>0.13675623455018468</v>
      </c>
      <c r="O34" s="37">
        <v>1.9643481370980567E-2</v>
      </c>
      <c r="P34" s="37">
        <v>-9.0102533377358143E-3</v>
      </c>
      <c r="Q34" s="37">
        <v>-2.1279396678335977E-2</v>
      </c>
      <c r="R34" s="37">
        <v>1.0508905180945882E-2</v>
      </c>
      <c r="S34" s="37">
        <v>0.37275663773919077</v>
      </c>
      <c r="T34" s="37">
        <v>0.3259432339880603</v>
      </c>
      <c r="U34" s="37">
        <v>0.72222739629454591</v>
      </c>
      <c r="V34" s="37">
        <v>0.62422709423960632</v>
      </c>
      <c r="W34" s="37">
        <v>-0.28187704440751166</v>
      </c>
      <c r="X34" s="37">
        <v>0.20296785573246051</v>
      </c>
      <c r="Y34" s="37">
        <v>-0.19545547503376762</v>
      </c>
      <c r="Z34" s="37">
        <v>0.30725758071541709</v>
      </c>
      <c r="AA34" s="37">
        <v>0.58970931550417993</v>
      </c>
      <c r="AB34" s="37">
        <v>0.65862544440605375</v>
      </c>
      <c r="AC34" s="37">
        <v>0.61631450767268514</v>
      </c>
      <c r="AD34" s="68">
        <v>5.331250141260898E-2</v>
      </c>
      <c r="AE34" s="68">
        <v>0.2557714738938906</v>
      </c>
      <c r="AF34" s="68">
        <v>0.84804776641314117</v>
      </c>
      <c r="AG34" s="68">
        <v>0.82094798876408337</v>
      </c>
      <c r="AH34" s="68">
        <v>0.74455183047660833</v>
      </c>
      <c r="AI34" s="68">
        <v>0.90990234069271902</v>
      </c>
      <c r="AJ34" s="68">
        <v>0.74183668257611257</v>
      </c>
      <c r="AK34" s="68">
        <v>0.77042037923580797</v>
      </c>
      <c r="AL34" s="68">
        <v>0.99999999999999989</v>
      </c>
      <c r="AM34" s="68"/>
      <c r="AN34" s="68"/>
      <c r="AO34" s="68"/>
      <c r="AP34" s="68"/>
      <c r="AQ34" s="68"/>
      <c r="AR34" s="68"/>
      <c r="AS34" s="68"/>
      <c r="AT34" s="68"/>
      <c r="AU34" s="68"/>
      <c r="AV34" s="68"/>
      <c r="AW34" s="68"/>
      <c r="AX34" s="68"/>
      <c r="AY34" s="68"/>
      <c r="AZ34" s="68"/>
      <c r="BA34" s="68"/>
      <c r="BB34" s="68"/>
      <c r="BC34" s="68"/>
      <c r="BD34" s="68"/>
      <c r="BE34" s="68"/>
      <c r="BF34" s="68"/>
      <c r="BG34" s="68"/>
      <c r="BH34" s="68"/>
      <c r="BI34" s="68"/>
      <c r="BJ34" s="68"/>
      <c r="BK34" s="68"/>
      <c r="BL34" s="68"/>
      <c r="BM34" s="68"/>
      <c r="BN34" s="68"/>
      <c r="BO34" s="68"/>
      <c r="BP34" s="68"/>
    </row>
    <row r="35" spans="2:68">
      <c r="B35" s="35" t="s">
        <v>13</v>
      </c>
      <c r="C35" s="35" t="s">
        <v>112</v>
      </c>
      <c r="E35" s="38">
        <v>6.5000000000000002E-2</v>
      </c>
      <c r="F35" s="38">
        <v>7.8215903332866654E-2</v>
      </c>
      <c r="G35" s="38">
        <v>0.170387414843791</v>
      </c>
      <c r="I35" s="69" t="s">
        <v>112</v>
      </c>
      <c r="J35" s="37">
        <v>4.1078858870939865E-2</v>
      </c>
      <c r="K35" s="37">
        <v>-4.6837366907512043E-2</v>
      </c>
      <c r="L35" s="37">
        <v>-0.29234215663760071</v>
      </c>
      <c r="M35" s="37">
        <v>-0.28459328407411555</v>
      </c>
      <c r="N35" s="37">
        <v>0.17536824078763727</v>
      </c>
      <c r="O35" s="37">
        <v>8.1141964829648625E-2</v>
      </c>
      <c r="P35" s="37">
        <v>3.3164203608746376E-2</v>
      </c>
      <c r="Q35" s="37">
        <v>4.0817121943004124E-2</v>
      </c>
      <c r="R35" s="37">
        <v>7.2116871562653298E-2</v>
      </c>
      <c r="S35" s="37">
        <v>0.4193195790082403</v>
      </c>
      <c r="T35" s="37">
        <v>0.37504209296263447</v>
      </c>
      <c r="U35" s="37">
        <v>0.74897339602274926</v>
      </c>
      <c r="V35" s="37">
        <v>0.58775729689201039</v>
      </c>
      <c r="W35" s="37">
        <v>-0.21660315867507784</v>
      </c>
      <c r="X35" s="37">
        <v>0.27681983631748697</v>
      </c>
      <c r="Y35" s="37">
        <v>-0.13488307984443951</v>
      </c>
      <c r="Z35" s="37">
        <v>0.37779719560595032</v>
      </c>
      <c r="AA35" s="37">
        <v>0.6400348917245684</v>
      </c>
      <c r="AB35" s="37">
        <v>0.72998087647426901</v>
      </c>
      <c r="AC35" s="37">
        <v>0.65039517838399552</v>
      </c>
      <c r="AD35" s="68">
        <v>7.4669488147545274E-2</v>
      </c>
      <c r="AE35" s="68">
        <v>0.20253868093523991</v>
      </c>
      <c r="AF35" s="68">
        <v>0.88436715458940485</v>
      </c>
      <c r="AG35" s="68">
        <v>0.86680725470207387</v>
      </c>
      <c r="AH35" s="68">
        <v>0.79116579434484458</v>
      </c>
      <c r="AI35" s="68">
        <v>0.969156551337362</v>
      </c>
      <c r="AJ35" s="68">
        <v>0.83429240875191912</v>
      </c>
      <c r="AK35" s="68">
        <v>0.7885789017451148</v>
      </c>
      <c r="AL35" s="68">
        <v>0.95163362756459646</v>
      </c>
      <c r="AM35" s="68">
        <v>0.99999999999999989</v>
      </c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68"/>
      <c r="BA35" s="68"/>
      <c r="BB35" s="68"/>
      <c r="BC35" s="68"/>
      <c r="BD35" s="68"/>
      <c r="BE35" s="68"/>
      <c r="BF35" s="68"/>
      <c r="BG35" s="68"/>
      <c r="BH35" s="68"/>
      <c r="BI35" s="68"/>
      <c r="BJ35" s="68"/>
      <c r="BK35" s="68"/>
      <c r="BL35" s="68"/>
      <c r="BM35" s="68"/>
      <c r="BN35" s="68"/>
      <c r="BO35" s="68"/>
      <c r="BP35" s="68"/>
    </row>
    <row r="36" spans="2:68">
      <c r="B36" s="35" t="s">
        <v>13</v>
      </c>
      <c r="C36" s="35" t="s">
        <v>249</v>
      </c>
      <c r="E36" s="38">
        <v>8.2000000000000017E-2</v>
      </c>
      <c r="F36" s="38">
        <v>0.11976460303843804</v>
      </c>
      <c r="G36" s="38">
        <v>0.29841962397984767</v>
      </c>
      <c r="I36" s="69" t="s">
        <v>249</v>
      </c>
      <c r="J36" s="37">
        <v>-3.3520316445685087E-2</v>
      </c>
      <c r="K36" s="37">
        <v>0.14384883785401001</v>
      </c>
      <c r="L36" s="37">
        <v>-0.18899495270343783</v>
      </c>
      <c r="M36" s="37">
        <v>-0.16638389615441693</v>
      </c>
      <c r="N36" s="37">
        <v>6.6336732130947915E-2</v>
      </c>
      <c r="O36" s="37">
        <v>3.1523732274202861E-2</v>
      </c>
      <c r="P36" s="37">
        <v>1.673394208957573E-2</v>
      </c>
      <c r="Q36" s="37">
        <v>1.8336438586537003E-2</v>
      </c>
      <c r="R36" s="37">
        <v>1.5012101448259915E-2</v>
      </c>
      <c r="S36" s="37">
        <v>0.21695889108203639</v>
      </c>
      <c r="T36" s="37">
        <v>0.18013773386722173</v>
      </c>
      <c r="U36" s="37">
        <v>0.36480050595672825</v>
      </c>
      <c r="V36" s="37">
        <v>0.29866922461529438</v>
      </c>
      <c r="W36" s="37">
        <v>-0.11297027856626705</v>
      </c>
      <c r="X36" s="37">
        <v>6.2045283690200473E-2</v>
      </c>
      <c r="Y36" s="37">
        <v>-6.1038209454862928E-2</v>
      </c>
      <c r="Z36" s="37">
        <v>0.11309059146286091</v>
      </c>
      <c r="AA36" s="37">
        <v>0.31389402688908347</v>
      </c>
      <c r="AB36" s="37">
        <v>0.32608838716305699</v>
      </c>
      <c r="AC36" s="37">
        <v>0.35640631661164734</v>
      </c>
      <c r="AD36" s="68">
        <v>-3.4139642993767989E-2</v>
      </c>
      <c r="AE36" s="68">
        <v>9.268051463468277E-2</v>
      </c>
      <c r="AF36" s="68">
        <v>0.39690557710926322</v>
      </c>
      <c r="AG36" s="68">
        <v>0.38092744543032681</v>
      </c>
      <c r="AH36" s="68">
        <v>0.34029726291477153</v>
      </c>
      <c r="AI36" s="68">
        <v>0.38907519869294083</v>
      </c>
      <c r="AJ36" s="68">
        <v>0.33375283829141883</v>
      </c>
      <c r="AK36" s="68">
        <v>0.55722660127697743</v>
      </c>
      <c r="AL36" s="68">
        <v>0.40877246219229629</v>
      </c>
      <c r="AM36" s="68">
        <v>0.41591697063376748</v>
      </c>
      <c r="AN36" s="68">
        <v>0.99999999999999989</v>
      </c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8"/>
      <c r="AZ36" s="68"/>
      <c r="BA36" s="68"/>
      <c r="BB36" s="68"/>
      <c r="BC36" s="68"/>
      <c r="BD36" s="68"/>
      <c r="BE36" s="68"/>
      <c r="BF36" s="68"/>
      <c r="BG36" s="68"/>
      <c r="BH36" s="68"/>
      <c r="BI36" s="68"/>
      <c r="BJ36" s="68"/>
      <c r="BK36" s="68"/>
      <c r="BL36" s="68"/>
      <c r="BM36" s="68"/>
      <c r="BN36" s="68"/>
      <c r="BO36" s="68"/>
      <c r="BP36" s="68"/>
    </row>
    <row r="37" spans="2:68">
      <c r="B37" s="35" t="s">
        <v>13</v>
      </c>
      <c r="C37" s="35" t="s">
        <v>117</v>
      </c>
      <c r="E37" s="38">
        <v>6.9000000000000006E-2</v>
      </c>
      <c r="F37" s="38">
        <v>8.8562977605020965E-2</v>
      </c>
      <c r="G37" s="38">
        <v>0.20920645193004433</v>
      </c>
      <c r="I37" s="69" t="s">
        <v>117</v>
      </c>
      <c r="J37" s="37">
        <v>5.966959362304175E-2</v>
      </c>
      <c r="K37" s="37">
        <v>1.2691179433568615E-2</v>
      </c>
      <c r="L37" s="37">
        <v>-0.24584239738621277</v>
      </c>
      <c r="M37" s="37">
        <v>-0.23682606013621565</v>
      </c>
      <c r="N37" s="37">
        <v>0.26194048735385583</v>
      </c>
      <c r="O37" s="37">
        <v>0.12279614979562353</v>
      </c>
      <c r="P37" s="37">
        <v>7.3271140601495338E-2</v>
      </c>
      <c r="Q37" s="37">
        <v>0.1002082274754412</v>
      </c>
      <c r="R37" s="37">
        <v>9.9009730655911343E-2</v>
      </c>
      <c r="S37" s="37">
        <v>0.44742764200157631</v>
      </c>
      <c r="T37" s="37">
        <v>0.39049514114453537</v>
      </c>
      <c r="U37" s="37">
        <v>0.73711003015593812</v>
      </c>
      <c r="V37" s="37">
        <v>0.57460795087133465</v>
      </c>
      <c r="W37" s="37">
        <v>-0.17832954366965451</v>
      </c>
      <c r="X37" s="37">
        <v>0.30526449056976906</v>
      </c>
      <c r="Y37" s="37">
        <v>-0.10881831580030721</v>
      </c>
      <c r="Z37" s="37">
        <v>0.40454194722370623</v>
      </c>
      <c r="AA37" s="37">
        <v>0.67026618793542081</v>
      </c>
      <c r="AB37" s="37">
        <v>0.79398870085077133</v>
      </c>
      <c r="AC37" s="37">
        <v>0.68032783698698851</v>
      </c>
      <c r="AD37" s="68">
        <v>7.7882737358567627E-2</v>
      </c>
      <c r="AE37" s="68">
        <v>0.2539211513953103</v>
      </c>
      <c r="AF37" s="68">
        <v>0.76426678642962409</v>
      </c>
      <c r="AG37" s="68">
        <v>0.77459607229701744</v>
      </c>
      <c r="AH37" s="68">
        <v>0.69751911977087966</v>
      </c>
      <c r="AI37" s="68">
        <v>0.82523648580848896</v>
      </c>
      <c r="AJ37" s="68">
        <v>0.67589140426919769</v>
      </c>
      <c r="AK37" s="68">
        <v>0.86543320539524937</v>
      </c>
      <c r="AL37" s="68">
        <v>0.82036292154624046</v>
      </c>
      <c r="AM37" s="68">
        <v>0.86894163082530351</v>
      </c>
      <c r="AN37" s="68">
        <v>0.54628931554938764</v>
      </c>
      <c r="AO37" s="68">
        <v>1</v>
      </c>
      <c r="AP37" s="68"/>
      <c r="AQ37" s="68"/>
      <c r="AR37" s="68"/>
      <c r="AS37" s="68"/>
      <c r="AT37" s="68"/>
      <c r="AU37" s="68"/>
      <c r="AV37" s="68"/>
      <c r="AW37" s="68"/>
      <c r="AX37" s="68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  <c r="BJ37" s="68"/>
      <c r="BK37" s="68"/>
      <c r="BL37" s="68"/>
      <c r="BM37" s="68"/>
      <c r="BN37" s="68"/>
      <c r="BO37" s="68"/>
      <c r="BP37" s="68"/>
    </row>
    <row r="38" spans="2:68">
      <c r="B38" s="35" t="s">
        <v>13</v>
      </c>
      <c r="C38" s="35" t="s">
        <v>250</v>
      </c>
      <c r="E38" s="38">
        <v>7.0000000000000007E-2</v>
      </c>
      <c r="F38" s="38">
        <v>8.8643236396245495E-2</v>
      </c>
      <c r="G38" s="38">
        <v>0.20410464571176493</v>
      </c>
      <c r="I38" s="69" t="s">
        <v>250</v>
      </c>
      <c r="J38" s="37">
        <v>6.7621986038313413E-3</v>
      </c>
      <c r="K38" s="37">
        <v>6.0913388293627182E-3</v>
      </c>
      <c r="L38" s="37">
        <v>-0.22125962880993066</v>
      </c>
      <c r="M38" s="37">
        <v>-0.20046102528472862</v>
      </c>
      <c r="N38" s="37">
        <v>0.24891440099482981</v>
      </c>
      <c r="O38" s="37">
        <v>0.14003453984442868</v>
      </c>
      <c r="P38" s="37">
        <v>8.8575180989240568E-2</v>
      </c>
      <c r="Q38" s="37">
        <v>0.10823440328062056</v>
      </c>
      <c r="R38" s="37">
        <v>0.12252184766527438</v>
      </c>
      <c r="S38" s="37">
        <v>0.46255596264576965</v>
      </c>
      <c r="T38" s="37">
        <v>0.40944518342826808</v>
      </c>
      <c r="U38" s="37">
        <v>0.71750997028550079</v>
      </c>
      <c r="V38" s="37">
        <v>0.54330638563598954</v>
      </c>
      <c r="W38" s="37">
        <v>-0.14999004717514122</v>
      </c>
      <c r="X38" s="37">
        <v>0.27888540699076908</v>
      </c>
      <c r="Y38" s="37">
        <v>-8.9214017231173448E-2</v>
      </c>
      <c r="Z38" s="37">
        <v>0.36710764458867057</v>
      </c>
      <c r="AA38" s="37">
        <v>0.64010430826402498</v>
      </c>
      <c r="AB38" s="37">
        <v>0.73655539418093952</v>
      </c>
      <c r="AC38" s="37">
        <v>0.65913793417606237</v>
      </c>
      <c r="AD38" s="68">
        <v>8.1889023925196786E-2</v>
      </c>
      <c r="AE38" s="68">
        <v>0.24588243452000796</v>
      </c>
      <c r="AF38" s="68">
        <v>0.74402304944806386</v>
      </c>
      <c r="AG38" s="68">
        <v>0.74960137588041631</v>
      </c>
      <c r="AH38" s="68">
        <v>0.68251769044122301</v>
      </c>
      <c r="AI38" s="68">
        <v>0.79510499449545136</v>
      </c>
      <c r="AJ38" s="68">
        <v>0.66384751416759624</v>
      </c>
      <c r="AK38" s="68">
        <v>0.90140920929288981</v>
      </c>
      <c r="AL38" s="68">
        <v>0.78544025005094509</v>
      </c>
      <c r="AM38" s="68">
        <v>0.83978826604328816</v>
      </c>
      <c r="AN38" s="68">
        <v>0.58879807395349471</v>
      </c>
      <c r="AO38" s="68">
        <v>0.97626090868066306</v>
      </c>
      <c r="AP38" s="68">
        <v>1</v>
      </c>
      <c r="AQ38" s="68"/>
      <c r="AR38" s="68"/>
      <c r="AS38" s="68"/>
      <c r="AT38" s="68"/>
      <c r="AU38" s="68"/>
      <c r="AV38" s="68"/>
      <c r="AW38" s="68"/>
      <c r="AX38" s="68"/>
      <c r="AY38" s="68"/>
      <c r="AZ38" s="68"/>
      <c r="BA38" s="68"/>
      <c r="BB38" s="68"/>
      <c r="BC38" s="68"/>
      <c r="BD38" s="68"/>
      <c r="BE38" s="68"/>
      <c r="BF38" s="68"/>
      <c r="BG38" s="68"/>
      <c r="BH38" s="68"/>
      <c r="BI38" s="68"/>
      <c r="BJ38" s="68"/>
      <c r="BK38" s="68"/>
      <c r="BL38" s="68"/>
      <c r="BM38" s="68"/>
      <c r="BN38" s="68"/>
      <c r="BO38" s="68"/>
      <c r="BP38" s="68"/>
    </row>
    <row r="39" spans="2:68">
      <c r="B39" s="35" t="s">
        <v>13</v>
      </c>
      <c r="C39" s="35" t="s">
        <v>251</v>
      </c>
      <c r="E39" s="38">
        <v>0.05</v>
      </c>
      <c r="F39" s="38">
        <v>6.1729268963306438E-2</v>
      </c>
      <c r="G39" s="38">
        <v>0.15913990081050752</v>
      </c>
      <c r="I39" s="69" t="s">
        <v>251</v>
      </c>
      <c r="J39" s="37">
        <v>4.8006766970926498E-2</v>
      </c>
      <c r="K39" s="37">
        <v>-5.9053137186545389E-2</v>
      </c>
      <c r="L39" s="37">
        <v>-0.32324568631028266</v>
      </c>
      <c r="M39" s="37">
        <v>-0.29913565706024525</v>
      </c>
      <c r="N39" s="37">
        <v>0.17284001448382122</v>
      </c>
      <c r="O39" s="37">
        <v>6.2378448127000899E-2</v>
      </c>
      <c r="P39" s="37">
        <v>8.3391556921234185E-3</v>
      </c>
      <c r="Q39" s="37">
        <v>2.969943711931192E-3</v>
      </c>
      <c r="R39" s="37">
        <v>5.9074428734948205E-2</v>
      </c>
      <c r="S39" s="37">
        <v>0.40488926454163982</v>
      </c>
      <c r="T39" s="37">
        <v>0.36320759636983907</v>
      </c>
      <c r="U39" s="37">
        <v>0.76745481856038689</v>
      </c>
      <c r="V39" s="37">
        <v>0.62158927691973676</v>
      </c>
      <c r="W39" s="37">
        <v>-0.23127142757716998</v>
      </c>
      <c r="X39" s="37">
        <v>0.2267172677942797</v>
      </c>
      <c r="Y39" s="37">
        <v>-0.14338010131717635</v>
      </c>
      <c r="Z39" s="37">
        <v>0.32797908968201939</v>
      </c>
      <c r="AA39" s="37">
        <v>0.62033530344375543</v>
      </c>
      <c r="AB39" s="37">
        <v>0.69850339175701948</v>
      </c>
      <c r="AC39" s="37">
        <v>0.64121134348848285</v>
      </c>
      <c r="AD39" s="68">
        <v>5.0427442381311E-2</v>
      </c>
      <c r="AE39" s="68">
        <v>0.20187304612655982</v>
      </c>
      <c r="AF39" s="68">
        <v>0.96107493941006317</v>
      </c>
      <c r="AG39" s="68">
        <v>0.94102957980757118</v>
      </c>
      <c r="AH39" s="68">
        <v>0.86926061894432116</v>
      </c>
      <c r="AI39" s="68">
        <v>0.93064471637463397</v>
      </c>
      <c r="AJ39" s="68">
        <v>0.78976095904067789</v>
      </c>
      <c r="AK39" s="68">
        <v>0.78697652856200517</v>
      </c>
      <c r="AL39" s="68">
        <v>0.92543624076468389</v>
      </c>
      <c r="AM39" s="68">
        <v>0.97012699723792573</v>
      </c>
      <c r="AN39" s="68">
        <v>0.44764793847381429</v>
      </c>
      <c r="AO39" s="68">
        <v>0.8839927564707164</v>
      </c>
      <c r="AP39" s="68">
        <v>0.85724066624543216</v>
      </c>
      <c r="AQ39" s="68">
        <v>1.0000000000000002</v>
      </c>
      <c r="AR39" s="68"/>
      <c r="AS39" s="68"/>
      <c r="AT39" s="68"/>
      <c r="AU39" s="68"/>
      <c r="AV39" s="68"/>
      <c r="AW39" s="68"/>
      <c r="AX39" s="68"/>
      <c r="AY39" s="68"/>
      <c r="AZ39" s="68"/>
      <c r="BA39" s="68"/>
      <c r="BB39" s="68"/>
      <c r="BC39" s="68"/>
      <c r="BD39" s="68"/>
      <c r="BE39" s="68"/>
      <c r="BF39" s="68"/>
      <c r="BG39" s="68"/>
      <c r="BH39" s="68"/>
      <c r="BI39" s="68"/>
      <c r="BJ39" s="68"/>
      <c r="BK39" s="68"/>
      <c r="BL39" s="68"/>
      <c r="BM39" s="68"/>
      <c r="BN39" s="68"/>
      <c r="BO39" s="68"/>
      <c r="BP39" s="68"/>
    </row>
    <row r="40" spans="2:68">
      <c r="B40" s="35" t="s">
        <v>13</v>
      </c>
      <c r="C40" s="35" t="s">
        <v>252</v>
      </c>
      <c r="E40" s="38">
        <v>5.6000000000000008E-2</v>
      </c>
      <c r="F40" s="38">
        <v>6.8652727867031027E-2</v>
      </c>
      <c r="G40" s="38">
        <v>0.16592382154767338</v>
      </c>
      <c r="I40" s="69" t="s">
        <v>252</v>
      </c>
      <c r="J40" s="37">
        <v>1.7249804369046752E-2</v>
      </c>
      <c r="K40" s="37">
        <v>-0.11649511124975333</v>
      </c>
      <c r="L40" s="37">
        <v>-0.37273466794240051</v>
      </c>
      <c r="M40" s="37">
        <v>-0.34816632505382483</v>
      </c>
      <c r="N40" s="37">
        <v>7.4344814938123838E-2</v>
      </c>
      <c r="O40" s="37">
        <v>-2.9320095844391013E-2</v>
      </c>
      <c r="P40" s="37">
        <v>-5.3106983187232108E-2</v>
      </c>
      <c r="Q40" s="37">
        <v>-9.3318415040924516E-2</v>
      </c>
      <c r="R40" s="37">
        <v>-2.6351312276605893E-2</v>
      </c>
      <c r="S40" s="37">
        <v>0.29541532994387876</v>
      </c>
      <c r="T40" s="37">
        <v>0.25952678390316014</v>
      </c>
      <c r="U40" s="37">
        <v>0.70793009248452332</v>
      </c>
      <c r="V40" s="37">
        <v>0.5836063291705359</v>
      </c>
      <c r="W40" s="37">
        <v>-0.26537381300655677</v>
      </c>
      <c r="X40" s="37">
        <v>7.9976512901916208E-2</v>
      </c>
      <c r="Y40" s="37">
        <v>-0.15971080794814996</v>
      </c>
      <c r="Z40" s="37">
        <v>0.17826178375414439</v>
      </c>
      <c r="AA40" s="37">
        <v>0.49457132939551063</v>
      </c>
      <c r="AB40" s="37">
        <v>0.56830734003327821</v>
      </c>
      <c r="AC40" s="37">
        <v>0.5302411985769544</v>
      </c>
      <c r="AD40" s="68">
        <v>-2.6916982589952152E-3</v>
      </c>
      <c r="AE40" s="68">
        <v>0.13766840417259427</v>
      </c>
      <c r="AF40" s="68">
        <v>0.97019744136343522</v>
      </c>
      <c r="AG40" s="68">
        <v>0.96438447399280514</v>
      </c>
      <c r="AH40" s="68">
        <v>0.93023678463985893</v>
      </c>
      <c r="AI40" s="68">
        <v>0.82390581602982726</v>
      </c>
      <c r="AJ40" s="68">
        <v>0.70230809870356048</v>
      </c>
      <c r="AK40" s="68">
        <v>0.64608142131716095</v>
      </c>
      <c r="AL40" s="68">
        <v>0.82416216705977785</v>
      </c>
      <c r="AM40" s="68">
        <v>0.85893549284070669</v>
      </c>
      <c r="AN40" s="68">
        <v>0.36365089524028071</v>
      </c>
      <c r="AO40" s="68">
        <v>0.73651168511449683</v>
      </c>
      <c r="AP40" s="68">
        <v>0.7123507309156939</v>
      </c>
      <c r="AQ40" s="68">
        <v>0.93092503029428719</v>
      </c>
      <c r="AR40" s="68">
        <v>1</v>
      </c>
      <c r="AS40" s="68"/>
      <c r="AT40" s="68"/>
      <c r="AU40" s="68"/>
      <c r="AV40" s="68"/>
      <c r="AW40" s="68"/>
      <c r="AX40" s="68"/>
      <c r="AY40" s="68"/>
      <c r="AZ40" s="68"/>
      <c r="BA40" s="68"/>
      <c r="BB40" s="68"/>
      <c r="BC40" s="68"/>
      <c r="BD40" s="68"/>
      <c r="BE40" s="68"/>
      <c r="BF40" s="68"/>
      <c r="BG40" s="68"/>
      <c r="BH40" s="68"/>
      <c r="BI40" s="68"/>
      <c r="BJ40" s="68"/>
      <c r="BK40" s="68"/>
      <c r="BL40" s="68"/>
      <c r="BM40" s="68"/>
      <c r="BN40" s="68"/>
      <c r="BO40" s="68"/>
      <c r="BP40" s="68"/>
    </row>
    <row r="41" spans="2:68">
      <c r="B41" s="35" t="s">
        <v>13</v>
      </c>
      <c r="C41" s="35" t="s">
        <v>253</v>
      </c>
      <c r="E41" s="38">
        <v>4.7E-2</v>
      </c>
      <c r="F41" s="38">
        <v>5.780975537476607E-2</v>
      </c>
      <c r="G41" s="38">
        <v>0.15239658780091198</v>
      </c>
      <c r="I41" s="69" t="s">
        <v>253</v>
      </c>
      <c r="J41" s="37">
        <v>7.4020434349017075E-2</v>
      </c>
      <c r="K41" s="37">
        <v>-8.8642708705784889E-2</v>
      </c>
      <c r="L41" s="37">
        <v>-0.34082650647198287</v>
      </c>
      <c r="M41" s="37">
        <v>-0.27097961425125616</v>
      </c>
      <c r="N41" s="37">
        <v>0.16570994327350411</v>
      </c>
      <c r="O41" s="37">
        <v>4.2664257650938571E-2</v>
      </c>
      <c r="P41" s="37">
        <v>-2.1543751365489416E-2</v>
      </c>
      <c r="Q41" s="37">
        <v>-8.0583779725525426E-2</v>
      </c>
      <c r="R41" s="37">
        <v>5.3912809546626687E-2</v>
      </c>
      <c r="S41" s="37">
        <v>0.36930462061045383</v>
      </c>
      <c r="T41" s="37">
        <v>0.33247152311039646</v>
      </c>
      <c r="U41" s="37">
        <v>0.73312561374841445</v>
      </c>
      <c r="V41" s="37">
        <v>0.6351139110651044</v>
      </c>
      <c r="W41" s="37">
        <v>-0.2314955769668588</v>
      </c>
      <c r="X41" s="37">
        <v>0.11408622200218967</v>
      </c>
      <c r="Y41" s="37">
        <v>-0.14647268102690048</v>
      </c>
      <c r="Z41" s="37">
        <v>0.20495021570645977</v>
      </c>
      <c r="AA41" s="37">
        <v>0.55241119607058342</v>
      </c>
      <c r="AB41" s="37">
        <v>0.55714827979270287</v>
      </c>
      <c r="AC41" s="37">
        <v>0.5633891684951331</v>
      </c>
      <c r="AD41" s="68">
        <v>7.0901128943092806E-2</v>
      </c>
      <c r="AE41" s="68">
        <v>0.23395043783407693</v>
      </c>
      <c r="AF41" s="68">
        <v>0.96364263030132291</v>
      </c>
      <c r="AG41" s="68">
        <v>0.9623947942664367</v>
      </c>
      <c r="AH41" s="68">
        <v>0.89674308137824832</v>
      </c>
      <c r="AI41" s="68">
        <v>0.81823917363023824</v>
      </c>
      <c r="AJ41" s="68">
        <v>0.69300046771907187</v>
      </c>
      <c r="AK41" s="68">
        <v>0.67910505543025046</v>
      </c>
      <c r="AL41" s="68">
        <v>0.81153391988695256</v>
      </c>
      <c r="AM41" s="68">
        <v>0.85801397284616754</v>
      </c>
      <c r="AN41" s="68">
        <v>0.40807645060266401</v>
      </c>
      <c r="AO41" s="68">
        <v>0.77305192208592066</v>
      </c>
      <c r="AP41" s="68">
        <v>0.75254478929117774</v>
      </c>
      <c r="AQ41" s="68">
        <v>0.93873534971619765</v>
      </c>
      <c r="AR41" s="68">
        <v>0.91014034544037359</v>
      </c>
      <c r="AS41" s="68">
        <v>0.99999999999999989</v>
      </c>
      <c r="AT41" s="68"/>
      <c r="AU41" s="68"/>
      <c r="AV41" s="68"/>
      <c r="AW41" s="68"/>
      <c r="AX41" s="68"/>
      <c r="AY41" s="68"/>
      <c r="AZ41" s="68"/>
      <c r="BA41" s="68"/>
      <c r="BB41" s="68"/>
      <c r="BC41" s="68"/>
      <c r="BD41" s="68"/>
      <c r="BE41" s="68"/>
      <c r="BF41" s="68"/>
      <c r="BG41" s="68"/>
      <c r="BH41" s="68"/>
      <c r="BI41" s="68"/>
      <c r="BJ41" s="68"/>
      <c r="BK41" s="68"/>
      <c r="BL41" s="68"/>
      <c r="BM41" s="68"/>
      <c r="BN41" s="68"/>
      <c r="BO41" s="68"/>
      <c r="BP41" s="68"/>
    </row>
    <row r="42" spans="2:68">
      <c r="B42" s="35" t="s">
        <v>13</v>
      </c>
      <c r="C42" s="35" t="s">
        <v>254</v>
      </c>
      <c r="E42" s="38">
        <v>4.7E-2</v>
      </c>
      <c r="F42" s="38">
        <v>5.5747379867602476E-2</v>
      </c>
      <c r="G42" s="38">
        <v>0.13675583773224434</v>
      </c>
      <c r="I42" s="69" t="s">
        <v>254</v>
      </c>
      <c r="J42" s="37">
        <v>3.9610875451851379E-2</v>
      </c>
      <c r="K42" s="37">
        <v>-8.789823723519416E-2</v>
      </c>
      <c r="L42" s="37">
        <v>-0.31938683076084029</v>
      </c>
      <c r="M42" s="37">
        <v>-0.27855543466871407</v>
      </c>
      <c r="N42" s="37">
        <v>0.13254239097455731</v>
      </c>
      <c r="O42" s="37">
        <v>3.1951261751445838E-2</v>
      </c>
      <c r="P42" s="37">
        <v>-1.9166099619782041E-2</v>
      </c>
      <c r="Q42" s="37">
        <v>-7.1352869168537572E-2</v>
      </c>
      <c r="R42" s="37">
        <v>3.9848740939093366E-2</v>
      </c>
      <c r="S42" s="37">
        <v>0.34315293062227759</v>
      </c>
      <c r="T42" s="37">
        <v>0.31035580348113356</v>
      </c>
      <c r="U42" s="37">
        <v>0.70107163687677243</v>
      </c>
      <c r="V42" s="37">
        <v>0.57064372962891974</v>
      </c>
      <c r="W42" s="37">
        <v>-0.21240634982545017</v>
      </c>
      <c r="X42" s="37">
        <v>0.13293199770796318</v>
      </c>
      <c r="Y42" s="37">
        <v>-0.12175650505720192</v>
      </c>
      <c r="Z42" s="37">
        <v>0.22168083590649362</v>
      </c>
      <c r="AA42" s="37">
        <v>0.54030006149733933</v>
      </c>
      <c r="AB42" s="37">
        <v>0.58679832731149772</v>
      </c>
      <c r="AC42" s="37">
        <v>0.554248584328352</v>
      </c>
      <c r="AD42" s="68">
        <v>5.2085205971287969E-2</v>
      </c>
      <c r="AE42" s="68">
        <v>0.17580562529763211</v>
      </c>
      <c r="AF42" s="68">
        <v>0.99011329344777277</v>
      </c>
      <c r="AG42" s="68">
        <v>0.96055806182759962</v>
      </c>
      <c r="AH42" s="68">
        <v>0.90843771320492039</v>
      </c>
      <c r="AI42" s="68">
        <v>0.83138826322479698</v>
      </c>
      <c r="AJ42" s="68">
        <v>0.69368598352260136</v>
      </c>
      <c r="AK42" s="68">
        <v>0.65864896263220718</v>
      </c>
      <c r="AL42" s="68">
        <v>0.8317431624489624</v>
      </c>
      <c r="AM42" s="68">
        <v>0.86818400725143741</v>
      </c>
      <c r="AN42" s="68">
        <v>0.38201766508435708</v>
      </c>
      <c r="AO42" s="68">
        <v>0.74639743863702968</v>
      </c>
      <c r="AP42" s="68">
        <v>0.72371193300800818</v>
      </c>
      <c r="AQ42" s="68">
        <v>0.94702031617995186</v>
      </c>
      <c r="AR42" s="68">
        <v>0.96438366117582563</v>
      </c>
      <c r="AS42" s="68">
        <v>0.9635478371054238</v>
      </c>
      <c r="AT42" s="68">
        <v>1.0000000000000002</v>
      </c>
      <c r="AU42" s="68"/>
      <c r="AV42" s="68"/>
      <c r="AW42" s="68"/>
      <c r="AX42" s="68"/>
      <c r="AY42" s="68"/>
      <c r="AZ42" s="68"/>
      <c r="BA42" s="68"/>
      <c r="BB42" s="68"/>
      <c r="BC42" s="68"/>
      <c r="BD42" s="68"/>
      <c r="BE42" s="68"/>
      <c r="BF42" s="68"/>
      <c r="BG42" s="68"/>
      <c r="BH42" s="68"/>
      <c r="BI42" s="68"/>
      <c r="BJ42" s="68"/>
      <c r="BK42" s="68"/>
      <c r="BL42" s="68"/>
      <c r="BM42" s="68"/>
      <c r="BN42" s="68"/>
      <c r="BO42" s="68"/>
      <c r="BP42" s="68"/>
    </row>
    <row r="43" spans="2:68">
      <c r="B43" s="35" t="s">
        <v>13</v>
      </c>
      <c r="C43" s="35" t="s">
        <v>255</v>
      </c>
      <c r="E43" s="38">
        <v>4.5999999999999999E-2</v>
      </c>
      <c r="F43" s="38">
        <v>5.2800744005184752E-2</v>
      </c>
      <c r="G43" s="38">
        <v>0.12024812605851438</v>
      </c>
      <c r="I43" s="69" t="s">
        <v>255</v>
      </c>
      <c r="J43" s="37">
        <v>2.3089733661956054E-2</v>
      </c>
      <c r="K43" s="37">
        <v>-8.5685448941278247E-2</v>
      </c>
      <c r="L43" s="37">
        <v>-0.26270485880957462</v>
      </c>
      <c r="M43" s="37">
        <v>-0.18704246163022306</v>
      </c>
      <c r="N43" s="37">
        <v>0.16251896544971686</v>
      </c>
      <c r="O43" s="37">
        <v>9.8968453468284853E-2</v>
      </c>
      <c r="P43" s="37">
        <v>5.206915946103384E-2</v>
      </c>
      <c r="Q43" s="37">
        <v>-4.8037573392486779E-2</v>
      </c>
      <c r="R43" s="37">
        <v>0.11468569862212233</v>
      </c>
      <c r="S43" s="37">
        <v>0.38692766276795404</v>
      </c>
      <c r="T43" s="37">
        <v>0.36345897071683286</v>
      </c>
      <c r="U43" s="37">
        <v>0.70105735770999622</v>
      </c>
      <c r="V43" s="37">
        <v>0.5650617357904506</v>
      </c>
      <c r="W43" s="37">
        <v>-0.10203055411587526</v>
      </c>
      <c r="X43" s="37">
        <v>0.16538324277342106</v>
      </c>
      <c r="Y43" s="37">
        <v>-2.5771929091825511E-3</v>
      </c>
      <c r="Z43" s="37">
        <v>0.24756997696993194</v>
      </c>
      <c r="AA43" s="37">
        <v>0.56756242113189703</v>
      </c>
      <c r="AB43" s="37">
        <v>0.60179686578915048</v>
      </c>
      <c r="AC43" s="37">
        <v>0.55377630127244981</v>
      </c>
      <c r="AD43" s="68">
        <v>0.11448312848312701</v>
      </c>
      <c r="AE43" s="68">
        <v>0.22168153348034017</v>
      </c>
      <c r="AF43" s="68">
        <v>0.93599867777056212</v>
      </c>
      <c r="AG43" s="68">
        <v>0.92102862419170617</v>
      </c>
      <c r="AH43" s="68">
        <v>0.85685129421910944</v>
      </c>
      <c r="AI43" s="68">
        <v>0.77792072208506935</v>
      </c>
      <c r="AJ43" s="68">
        <v>0.63809321755505899</v>
      </c>
      <c r="AK43" s="68">
        <v>0.60156791058557391</v>
      </c>
      <c r="AL43" s="68">
        <v>0.77832997415675664</v>
      </c>
      <c r="AM43" s="68">
        <v>0.81611642786924665</v>
      </c>
      <c r="AN43" s="68">
        <v>0.32012454671096952</v>
      </c>
      <c r="AO43" s="68">
        <v>0.69755550270240041</v>
      </c>
      <c r="AP43" s="68">
        <v>0.67193261260428339</v>
      </c>
      <c r="AQ43" s="68">
        <v>0.88922802946690982</v>
      </c>
      <c r="AR43" s="68">
        <v>0.92684662976571131</v>
      </c>
      <c r="AS43" s="68">
        <v>0.90956739270364362</v>
      </c>
      <c r="AT43" s="68">
        <v>0.9505191625772661</v>
      </c>
      <c r="AU43" s="68">
        <v>1</v>
      </c>
      <c r="AV43" s="68"/>
      <c r="AW43" s="68"/>
      <c r="AX43" s="68"/>
      <c r="AY43" s="68"/>
      <c r="AZ43" s="68"/>
      <c r="BA43" s="68"/>
      <c r="BB43" s="68"/>
      <c r="BC43" s="68"/>
      <c r="BD43" s="68"/>
      <c r="BE43" s="68"/>
      <c r="BF43" s="68"/>
      <c r="BG43" s="68"/>
      <c r="BH43" s="68"/>
      <c r="BI43" s="68"/>
      <c r="BJ43" s="68"/>
      <c r="BK43" s="68"/>
      <c r="BL43" s="68"/>
      <c r="BM43" s="68"/>
      <c r="BN43" s="68"/>
      <c r="BO43" s="68"/>
      <c r="BP43" s="68"/>
    </row>
    <row r="44" spans="2:68">
      <c r="B44" s="35" t="s">
        <v>13</v>
      </c>
      <c r="C44" s="35" t="s">
        <v>256</v>
      </c>
      <c r="E44" s="38">
        <v>5.2000000000000005E-2</v>
      </c>
      <c r="F44" s="38">
        <v>6.2749559544850397E-2</v>
      </c>
      <c r="G44" s="38">
        <v>0.15231406199425768</v>
      </c>
      <c r="I44" s="69" t="s">
        <v>256</v>
      </c>
      <c r="J44" s="37">
        <v>2.0084338413673949E-2</v>
      </c>
      <c r="K44" s="37">
        <v>-0.10626955228275153</v>
      </c>
      <c r="L44" s="37">
        <v>-0.30676886280918386</v>
      </c>
      <c r="M44" s="37">
        <v>-0.25993008203060397</v>
      </c>
      <c r="N44" s="37">
        <v>0.15198549946692055</v>
      </c>
      <c r="O44" s="37">
        <v>6.2909996326542469E-2</v>
      </c>
      <c r="P44" s="37">
        <v>2.6258398133512727E-2</v>
      </c>
      <c r="Q44" s="37">
        <v>-4.4383583543011126E-2</v>
      </c>
      <c r="R44" s="37">
        <v>6.701115400187313E-2</v>
      </c>
      <c r="S44" s="37">
        <v>0.37673414530747368</v>
      </c>
      <c r="T44" s="37">
        <v>0.34314973729255732</v>
      </c>
      <c r="U44" s="37">
        <v>0.72435199037877285</v>
      </c>
      <c r="V44" s="37">
        <v>0.59826213451652721</v>
      </c>
      <c r="W44" s="37">
        <v>-0.18223526979196214</v>
      </c>
      <c r="X44" s="37">
        <v>0.14450982233762144</v>
      </c>
      <c r="Y44" s="37">
        <v>-8.2166572272611774E-2</v>
      </c>
      <c r="Z44" s="37">
        <v>0.23496455715016709</v>
      </c>
      <c r="AA44" s="37">
        <v>0.55337103115808206</v>
      </c>
      <c r="AB44" s="37">
        <v>0.60875262460682034</v>
      </c>
      <c r="AC44" s="37">
        <v>0.57120874414127976</v>
      </c>
      <c r="AD44" s="68">
        <v>0.10146648713744279</v>
      </c>
      <c r="AE44" s="68">
        <v>0.20390255297438986</v>
      </c>
      <c r="AF44" s="68">
        <v>0.9442278807042237</v>
      </c>
      <c r="AG44" s="68">
        <v>0.95136622139423588</v>
      </c>
      <c r="AH44" s="68">
        <v>0.89992116367170827</v>
      </c>
      <c r="AI44" s="68">
        <v>0.80252312755862465</v>
      </c>
      <c r="AJ44" s="68">
        <v>0.6771377057723601</v>
      </c>
      <c r="AK44" s="68">
        <v>0.65721831671562503</v>
      </c>
      <c r="AL44" s="68">
        <v>0.82071529271382992</v>
      </c>
      <c r="AM44" s="68">
        <v>0.84685264046167352</v>
      </c>
      <c r="AN44" s="68">
        <v>0.33328769934709773</v>
      </c>
      <c r="AO44" s="68">
        <v>0.73702962088985646</v>
      </c>
      <c r="AP44" s="68">
        <v>0.70733470180230151</v>
      </c>
      <c r="AQ44" s="68">
        <v>0.91397695043804816</v>
      </c>
      <c r="AR44" s="68">
        <v>0.96829939615677119</v>
      </c>
      <c r="AS44" s="68">
        <v>0.89818323655950205</v>
      </c>
      <c r="AT44" s="68">
        <v>0.94907810172154639</v>
      </c>
      <c r="AU44" s="68">
        <v>0.95617734769340768</v>
      </c>
      <c r="AV44" s="68">
        <v>1.0000000000000002</v>
      </c>
      <c r="AW44" s="68"/>
      <c r="AX44" s="68"/>
      <c r="AY44" s="68"/>
      <c r="AZ44" s="68"/>
      <c r="BA44" s="68"/>
      <c r="BB44" s="68"/>
      <c r="BC44" s="68"/>
      <c r="BD44" s="68"/>
      <c r="BE44" s="68"/>
      <c r="BF44" s="68"/>
      <c r="BG44" s="68"/>
      <c r="BH44" s="68"/>
      <c r="BI44" s="68"/>
      <c r="BJ44" s="68"/>
      <c r="BK44" s="68"/>
      <c r="BL44" s="68"/>
      <c r="BM44" s="68"/>
      <c r="BN44" s="68"/>
      <c r="BO44" s="68"/>
      <c r="BP44" s="68"/>
    </row>
    <row r="45" spans="2:68">
      <c r="B45" s="35" t="s">
        <v>13</v>
      </c>
      <c r="C45" s="35" t="s">
        <v>257</v>
      </c>
      <c r="E45" s="38">
        <v>5.2999999999999999E-2</v>
      </c>
      <c r="F45" s="38">
        <v>6.2010843983422159E-2</v>
      </c>
      <c r="G45" s="38">
        <v>0.13923217722189782</v>
      </c>
      <c r="I45" s="69" t="s">
        <v>257</v>
      </c>
      <c r="J45" s="37">
        <v>4.7977013142850501E-2</v>
      </c>
      <c r="K45" s="37">
        <v>-0.10801297301669051</v>
      </c>
      <c r="L45" s="37">
        <v>-0.34004807343416582</v>
      </c>
      <c r="M45" s="37">
        <v>-0.29187034506445647</v>
      </c>
      <c r="N45" s="37">
        <v>0.13939638295191942</v>
      </c>
      <c r="O45" s="37">
        <v>2.516443770125561E-2</v>
      </c>
      <c r="P45" s="37">
        <v>-2.2269067490728624E-2</v>
      </c>
      <c r="Q45" s="37">
        <v>-7.7849639064221987E-2</v>
      </c>
      <c r="R45" s="37">
        <v>3.4709540490279071E-2</v>
      </c>
      <c r="S45" s="37">
        <v>0.35447955457013353</v>
      </c>
      <c r="T45" s="37">
        <v>0.31835626570306091</v>
      </c>
      <c r="U45" s="37">
        <v>0.73024779276137741</v>
      </c>
      <c r="V45" s="37">
        <v>0.60752266831681367</v>
      </c>
      <c r="W45" s="37">
        <v>-0.21552749188132217</v>
      </c>
      <c r="X45" s="37">
        <v>0.12091571673412589</v>
      </c>
      <c r="Y45" s="37">
        <v>-0.11178954890077529</v>
      </c>
      <c r="Z45" s="37">
        <v>0.21755220033943376</v>
      </c>
      <c r="AA45" s="37">
        <v>0.55383033555078653</v>
      </c>
      <c r="AB45" s="37">
        <v>0.59520000164917686</v>
      </c>
      <c r="AC45" s="37">
        <v>0.56578280573889561</v>
      </c>
      <c r="AD45" s="68">
        <v>7.166525011305265E-2</v>
      </c>
      <c r="AE45" s="68">
        <v>0.19501831654023399</v>
      </c>
      <c r="AF45" s="68">
        <v>0.97349138847060157</v>
      </c>
      <c r="AG45" s="68">
        <v>0.97659026602009869</v>
      </c>
      <c r="AH45" s="68">
        <v>0.91748353724079368</v>
      </c>
      <c r="AI45" s="68">
        <v>0.82534846365933578</v>
      </c>
      <c r="AJ45" s="68">
        <v>0.6967487492280886</v>
      </c>
      <c r="AK45" s="68">
        <v>0.65828625495773407</v>
      </c>
      <c r="AL45" s="68">
        <v>0.82623477763986231</v>
      </c>
      <c r="AM45" s="68">
        <v>0.86495839606677671</v>
      </c>
      <c r="AN45" s="68">
        <v>0.37564672667714016</v>
      </c>
      <c r="AO45" s="68">
        <v>0.75249679745936238</v>
      </c>
      <c r="AP45" s="68">
        <v>0.72665376191990783</v>
      </c>
      <c r="AQ45" s="68">
        <v>0.9385743716368623</v>
      </c>
      <c r="AR45" s="68">
        <v>0.97184461843987158</v>
      </c>
      <c r="AS45" s="68">
        <v>0.95303917834266616</v>
      </c>
      <c r="AT45" s="68">
        <v>0.97872151044500155</v>
      </c>
      <c r="AU45" s="68">
        <v>0.96851815376930328</v>
      </c>
      <c r="AV45" s="68">
        <v>0.97384904162676833</v>
      </c>
      <c r="AW45" s="68">
        <v>1.0000000000000002</v>
      </c>
      <c r="AX45" s="68"/>
      <c r="AY45" s="68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</row>
    <row r="46" spans="2:68">
      <c r="B46" s="35" t="s">
        <v>13</v>
      </c>
      <c r="C46" s="35" t="s">
        <v>258</v>
      </c>
      <c r="E46" s="38">
        <v>4.4999999999999998E-2</v>
      </c>
      <c r="F46" s="38">
        <v>5.1526436239616169E-2</v>
      </c>
      <c r="G46" s="38">
        <v>0.11770424515092386</v>
      </c>
      <c r="I46" s="69" t="s">
        <v>258</v>
      </c>
      <c r="J46" s="37">
        <v>3.8355795797086874E-2</v>
      </c>
      <c r="K46" s="37">
        <v>-0.11258741009511944</v>
      </c>
      <c r="L46" s="37">
        <v>-0.30569479328420862</v>
      </c>
      <c r="M46" s="37">
        <v>-0.2577395688621818</v>
      </c>
      <c r="N46" s="37">
        <v>0.22515977343759583</v>
      </c>
      <c r="O46" s="37">
        <v>0.11790609730808084</v>
      </c>
      <c r="P46" s="37">
        <v>5.0221018921461816E-2</v>
      </c>
      <c r="Q46" s="37">
        <v>2.597460436056491E-2</v>
      </c>
      <c r="R46" s="37">
        <v>9.7112938697070952E-2</v>
      </c>
      <c r="S46" s="37">
        <v>0.47824541362476658</v>
      </c>
      <c r="T46" s="37">
        <v>0.4051407929434091</v>
      </c>
      <c r="U46" s="37">
        <v>0.80359860039069853</v>
      </c>
      <c r="V46" s="37">
        <v>0.68444147710532344</v>
      </c>
      <c r="W46" s="37">
        <v>-0.1994929194750433</v>
      </c>
      <c r="X46" s="37">
        <v>0.15166277418365423</v>
      </c>
      <c r="Y46" s="37">
        <v>-0.11413762376436061</v>
      </c>
      <c r="Z46" s="37">
        <v>0.24569758271700842</v>
      </c>
      <c r="AA46" s="37">
        <v>0.61425484174716638</v>
      </c>
      <c r="AB46" s="37">
        <v>0.57358889819676762</v>
      </c>
      <c r="AC46" s="37">
        <v>0.64965097549083295</v>
      </c>
      <c r="AD46" s="68">
        <v>0.15588361682481322</v>
      </c>
      <c r="AE46" s="68">
        <v>0.28601614042443696</v>
      </c>
      <c r="AF46" s="68">
        <v>0.86449971865488595</v>
      </c>
      <c r="AG46" s="68">
        <v>0.8989143223420516</v>
      </c>
      <c r="AH46" s="68">
        <v>0.83655884726366714</v>
      </c>
      <c r="AI46" s="68">
        <v>0.7845282648934998</v>
      </c>
      <c r="AJ46" s="68">
        <v>0.69431783932987545</v>
      </c>
      <c r="AK46" s="68">
        <v>0.71113144408499807</v>
      </c>
      <c r="AL46" s="68">
        <v>0.77355752236785769</v>
      </c>
      <c r="AM46" s="68">
        <v>0.82554099118195678</v>
      </c>
      <c r="AN46" s="68">
        <v>0.45655579537393259</v>
      </c>
      <c r="AO46" s="68">
        <v>0.78675552933039705</v>
      </c>
      <c r="AP46" s="68">
        <v>0.77993049959267946</v>
      </c>
      <c r="AQ46" s="68">
        <v>0.88372448037321349</v>
      </c>
      <c r="AR46" s="68">
        <v>0.83266484225458282</v>
      </c>
      <c r="AS46" s="68">
        <v>0.89894381085953068</v>
      </c>
      <c r="AT46" s="68">
        <v>0.85081484614029224</v>
      </c>
      <c r="AU46" s="68">
        <v>0.77787242493192021</v>
      </c>
      <c r="AV46" s="68">
        <v>0.8175802931845908</v>
      </c>
      <c r="AW46" s="68">
        <v>0.84990536144861872</v>
      </c>
      <c r="AX46" s="68">
        <v>1</v>
      </c>
      <c r="AY46" s="68"/>
      <c r="AZ46" s="68"/>
      <c r="BA46" s="68"/>
      <c r="BB46" s="68"/>
      <c r="BC46" s="68"/>
      <c r="BD46" s="68"/>
      <c r="BE46" s="68"/>
      <c r="BF46" s="68"/>
      <c r="BG46" s="68"/>
      <c r="BH46" s="68"/>
      <c r="BI46" s="68"/>
      <c r="BJ46" s="68"/>
      <c r="BK46" s="68"/>
      <c r="BL46" s="68"/>
      <c r="BM46" s="68"/>
      <c r="BN46" s="68"/>
      <c r="BO46" s="68"/>
      <c r="BP46" s="68"/>
    </row>
    <row r="47" spans="2:68">
      <c r="B47" s="35" t="s">
        <v>13</v>
      </c>
      <c r="C47" s="35" t="s">
        <v>259</v>
      </c>
      <c r="E47" s="38">
        <v>5.5E-2</v>
      </c>
      <c r="F47" s="38">
        <v>5.9893804038428256E-2</v>
      </c>
      <c r="G47" s="38">
        <v>0.10220625224919097</v>
      </c>
      <c r="I47" s="69" t="s">
        <v>259</v>
      </c>
      <c r="J47" s="37">
        <v>3.9511370592332975E-3</v>
      </c>
      <c r="K47" s="37">
        <v>-8.6810839019764191E-2</v>
      </c>
      <c r="L47" s="37">
        <v>-0.32619079775447818</v>
      </c>
      <c r="M47" s="37">
        <v>-0.26653906186864934</v>
      </c>
      <c r="N47" s="37">
        <v>0.20083202422562485</v>
      </c>
      <c r="O47" s="37">
        <v>0.12238199827124027</v>
      </c>
      <c r="P47" s="37">
        <v>5.2865367420444905E-2</v>
      </c>
      <c r="Q47" s="37">
        <v>4.5495755864633509E-2</v>
      </c>
      <c r="R47" s="37">
        <v>0.10712866533795544</v>
      </c>
      <c r="S47" s="37">
        <v>0.49992342765558045</v>
      </c>
      <c r="T47" s="37">
        <v>0.43101922962893147</v>
      </c>
      <c r="U47" s="37">
        <v>0.81360429540366785</v>
      </c>
      <c r="V47" s="37">
        <v>0.69550329076707806</v>
      </c>
      <c r="W47" s="37">
        <v>-0.19995473095823804</v>
      </c>
      <c r="X47" s="37">
        <v>0.13686558233206778</v>
      </c>
      <c r="Y47" s="37">
        <v>-0.10595242504750296</v>
      </c>
      <c r="Z47" s="37">
        <v>0.23006180085033978</v>
      </c>
      <c r="AA47" s="37">
        <v>0.64051482840526608</v>
      </c>
      <c r="AB47" s="37">
        <v>0.60283521649492844</v>
      </c>
      <c r="AC47" s="37">
        <v>0.69562296097795329</v>
      </c>
      <c r="AD47" s="68">
        <v>0.14113669736056528</v>
      </c>
      <c r="AE47" s="68">
        <v>0.27652445485014271</v>
      </c>
      <c r="AF47" s="68">
        <v>0.86119038887695576</v>
      </c>
      <c r="AG47" s="68">
        <v>0.88596857572014198</v>
      </c>
      <c r="AH47" s="68">
        <v>0.815516425409194</v>
      </c>
      <c r="AI47" s="68">
        <v>0.83331032484080036</v>
      </c>
      <c r="AJ47" s="68">
        <v>0.73166709429276156</v>
      </c>
      <c r="AK47" s="68">
        <v>0.75430443218991394</v>
      </c>
      <c r="AL47" s="68">
        <v>0.81998554718123351</v>
      </c>
      <c r="AM47" s="68">
        <v>0.87177862240375836</v>
      </c>
      <c r="AN47" s="68">
        <v>0.49765504214549383</v>
      </c>
      <c r="AO47" s="68">
        <v>0.82540704052135194</v>
      </c>
      <c r="AP47" s="68">
        <v>0.81830150348940245</v>
      </c>
      <c r="AQ47" s="68">
        <v>0.90732997303250995</v>
      </c>
      <c r="AR47" s="68">
        <v>0.82733787523781643</v>
      </c>
      <c r="AS47" s="68">
        <v>0.89021627569256645</v>
      </c>
      <c r="AT47" s="68">
        <v>0.8461128942129007</v>
      </c>
      <c r="AU47" s="68">
        <v>0.77802234122136804</v>
      </c>
      <c r="AV47" s="68">
        <v>0.81377085588538933</v>
      </c>
      <c r="AW47" s="68">
        <v>0.84373963748912584</v>
      </c>
      <c r="AX47" s="68">
        <v>0.97666324613983257</v>
      </c>
      <c r="AY47" s="68">
        <v>1</v>
      </c>
      <c r="AZ47" s="68"/>
      <c r="BA47" s="68"/>
      <c r="BB47" s="68"/>
      <c r="BC47" s="68"/>
      <c r="BD47" s="68"/>
      <c r="BE47" s="68"/>
      <c r="BF47" s="68"/>
      <c r="BG47" s="68"/>
      <c r="BH47" s="68"/>
      <c r="BI47" s="68"/>
      <c r="BJ47" s="68"/>
      <c r="BK47" s="68"/>
      <c r="BL47" s="68"/>
      <c r="BM47" s="68"/>
      <c r="BN47" s="68"/>
      <c r="BO47" s="68"/>
      <c r="BP47" s="68"/>
    </row>
    <row r="48" spans="2:68">
      <c r="B48" s="35" t="s">
        <v>13</v>
      </c>
      <c r="C48" s="35" t="s">
        <v>260</v>
      </c>
      <c r="E48" s="38">
        <v>4.5999999999999999E-2</v>
      </c>
      <c r="F48" s="38">
        <v>4.8346348451005161E-2</v>
      </c>
      <c r="G48" s="38">
        <v>7.0257648267433484E-2</v>
      </c>
      <c r="I48" s="69" t="s">
        <v>260</v>
      </c>
      <c r="J48" s="37">
        <v>0.17067352869707203</v>
      </c>
      <c r="K48" s="37">
        <v>-5.7584960056223315E-2</v>
      </c>
      <c r="L48" s="37">
        <v>-0.19283574393724845</v>
      </c>
      <c r="M48" s="37">
        <v>-0.1992141242881065</v>
      </c>
      <c r="N48" s="37">
        <v>8.9119212124107949E-2</v>
      </c>
      <c r="O48" s="37">
        <v>1.3113073456250353E-2</v>
      </c>
      <c r="P48" s="37">
        <v>-0.12823923587389177</v>
      </c>
      <c r="Q48" s="37">
        <v>-7.3475401251517913E-2</v>
      </c>
      <c r="R48" s="37">
        <v>6.0388368184440419E-2</v>
      </c>
      <c r="S48" s="37">
        <v>0.2777301251689055</v>
      </c>
      <c r="T48" s="37">
        <v>0.26966633248344202</v>
      </c>
      <c r="U48" s="37">
        <v>0.36226036266862477</v>
      </c>
      <c r="V48" s="37">
        <v>0.41254335221432709</v>
      </c>
      <c r="W48" s="37">
        <v>-9.6638587651028715E-2</v>
      </c>
      <c r="X48" s="37">
        <v>7.2932056839203563E-2</v>
      </c>
      <c r="Y48" s="37">
        <v>-1.4296237192263221E-2</v>
      </c>
      <c r="Z48" s="37">
        <v>0.13177378262446468</v>
      </c>
      <c r="AA48" s="37">
        <v>0.27428725291810235</v>
      </c>
      <c r="AB48" s="37">
        <v>0.26292017690172603</v>
      </c>
      <c r="AC48" s="37">
        <v>0.36114037814648825</v>
      </c>
      <c r="AD48" s="68">
        <v>1.5226661009748356E-2</v>
      </c>
      <c r="AE48" s="68">
        <v>0.27581660549520903</v>
      </c>
      <c r="AF48" s="68">
        <v>0.46453575132586883</v>
      </c>
      <c r="AG48" s="68">
        <v>0.43666401714341402</v>
      </c>
      <c r="AH48" s="68">
        <v>0.39111579971363886</v>
      </c>
      <c r="AI48" s="68">
        <v>0.43923162907551505</v>
      </c>
      <c r="AJ48" s="68">
        <v>0.36373557508111443</v>
      </c>
      <c r="AK48" s="68">
        <v>0.35952973017610068</v>
      </c>
      <c r="AL48" s="68">
        <v>0.48181482566857664</v>
      </c>
      <c r="AM48" s="68">
        <v>0.46773973055259338</v>
      </c>
      <c r="AN48" s="68">
        <v>0.21054713313141596</v>
      </c>
      <c r="AO48" s="68">
        <v>0.37706557054782919</v>
      </c>
      <c r="AP48" s="68">
        <v>0.35947371947661627</v>
      </c>
      <c r="AQ48" s="68">
        <v>0.47751190563146761</v>
      </c>
      <c r="AR48" s="68">
        <v>0.40055997352627881</v>
      </c>
      <c r="AS48" s="68">
        <v>0.46309727283204677</v>
      </c>
      <c r="AT48" s="68">
        <v>0.43665579523966119</v>
      </c>
      <c r="AU48" s="68">
        <v>0.39266688371793668</v>
      </c>
      <c r="AV48" s="68">
        <v>0.39956578671097864</v>
      </c>
      <c r="AW48" s="68">
        <v>0.42093984455721556</v>
      </c>
      <c r="AX48" s="68">
        <v>0.46911594481992225</v>
      </c>
      <c r="AY48" s="68">
        <v>0.48788476898915589</v>
      </c>
      <c r="AZ48" s="68">
        <v>1</v>
      </c>
      <c r="BA48" s="68"/>
      <c r="BB48" s="68"/>
      <c r="BC48" s="68"/>
      <c r="BD48" s="68"/>
      <c r="BE48" s="68"/>
      <c r="BF48" s="68"/>
      <c r="BG48" s="68"/>
      <c r="BH48" s="68"/>
      <c r="BI48" s="68"/>
      <c r="BJ48" s="68"/>
      <c r="BK48" s="68"/>
      <c r="BL48" s="68"/>
      <c r="BM48" s="68"/>
      <c r="BN48" s="68"/>
      <c r="BO48" s="68"/>
      <c r="BP48" s="68"/>
    </row>
    <row r="49" spans="2:68">
      <c r="B49" s="35" t="s">
        <v>21</v>
      </c>
      <c r="C49" s="35" t="s">
        <v>22</v>
      </c>
      <c r="E49" s="38">
        <v>8.1000000000000003E-2</v>
      </c>
      <c r="F49" s="38">
        <v>9.6567164136583519E-2</v>
      </c>
      <c r="G49" s="38">
        <v>0.1867669708185819</v>
      </c>
      <c r="I49" s="69" t="s">
        <v>22</v>
      </c>
      <c r="J49" s="37">
        <v>0.16157525827477623</v>
      </c>
      <c r="K49" s="37">
        <v>4.2118540075194798E-4</v>
      </c>
      <c r="L49" s="37">
        <v>-0.51349143400227426</v>
      </c>
      <c r="M49" s="37">
        <v>-0.56589010344627833</v>
      </c>
      <c r="N49" s="37">
        <v>9.3581737074528312E-2</v>
      </c>
      <c r="O49" s="37">
        <v>-0.19353267212513289</v>
      </c>
      <c r="P49" s="37">
        <v>-0.20746994975215674</v>
      </c>
      <c r="Q49" s="37">
        <v>-0.14297926468234184</v>
      </c>
      <c r="R49" s="37">
        <v>-0.23968377450306425</v>
      </c>
      <c r="S49" s="37">
        <v>0.30195106458038606</v>
      </c>
      <c r="T49" s="37">
        <v>0.17196097591589077</v>
      </c>
      <c r="U49" s="37">
        <v>0.72310279894345109</v>
      </c>
      <c r="V49" s="37">
        <v>0.69471245546269944</v>
      </c>
      <c r="W49" s="37">
        <v>-0.46492611788612637</v>
      </c>
      <c r="X49" s="37">
        <v>-1.0328018165272412E-2</v>
      </c>
      <c r="Y49" s="37">
        <v>-0.34263878281020421</v>
      </c>
      <c r="Z49" s="37">
        <v>0.12536769886485979</v>
      </c>
      <c r="AA49" s="37">
        <v>0.58371549307391069</v>
      </c>
      <c r="AB49" s="37">
        <v>0.59883691723041588</v>
      </c>
      <c r="AC49" s="37">
        <v>0.62970314145877093</v>
      </c>
      <c r="AD49" s="68">
        <v>2.3841860851550135E-2</v>
      </c>
      <c r="AE49" s="68">
        <v>0.35970812554715159</v>
      </c>
      <c r="AF49" s="68">
        <v>0.79848649628051949</v>
      </c>
      <c r="AG49" s="68">
        <v>0.81010520838963695</v>
      </c>
      <c r="AH49" s="68">
        <v>0.76317796297076601</v>
      </c>
      <c r="AI49" s="68">
        <v>0.790510576053717</v>
      </c>
      <c r="AJ49" s="68">
        <v>0.6234412842728817</v>
      </c>
      <c r="AK49" s="68">
        <v>0.71065655646062553</v>
      </c>
      <c r="AL49" s="68">
        <v>0.81139700116744107</v>
      </c>
      <c r="AM49" s="68">
        <v>0.81414341049990713</v>
      </c>
      <c r="AN49" s="68">
        <v>0.504694069219224</v>
      </c>
      <c r="AO49" s="68">
        <v>0.81695772684215184</v>
      </c>
      <c r="AP49" s="68">
        <v>0.78228789708018032</v>
      </c>
      <c r="AQ49" s="68">
        <v>0.84323990526419401</v>
      </c>
      <c r="AR49" s="68">
        <v>0.7773617610753335</v>
      </c>
      <c r="AS49" s="68">
        <v>0.80425644638600735</v>
      </c>
      <c r="AT49" s="68">
        <v>0.78478200631326422</v>
      </c>
      <c r="AU49" s="68">
        <v>0.72009009869828811</v>
      </c>
      <c r="AV49" s="68">
        <v>0.75746785771001479</v>
      </c>
      <c r="AW49" s="68">
        <v>0.79319409992123313</v>
      </c>
      <c r="AX49" s="68">
        <v>0.81183768677663526</v>
      </c>
      <c r="AY49" s="68">
        <v>0.82800177221155702</v>
      </c>
      <c r="AZ49" s="68">
        <v>0.46101036562818276</v>
      </c>
      <c r="BA49" s="68">
        <v>1</v>
      </c>
      <c r="BB49" s="68"/>
      <c r="BC49" s="68"/>
      <c r="BD49" s="68"/>
      <c r="BE49" s="68"/>
      <c r="BF49" s="68"/>
      <c r="BG49" s="68"/>
      <c r="BH49" s="68"/>
      <c r="BI49" s="68"/>
      <c r="BJ49" s="68"/>
      <c r="BK49" s="68"/>
      <c r="BL49" s="68"/>
      <c r="BM49" s="68"/>
      <c r="BN49" s="68"/>
      <c r="BO49" s="68"/>
      <c r="BP49" s="68"/>
    </row>
    <row r="50" spans="2:68">
      <c r="B50" s="35" t="s">
        <v>21</v>
      </c>
      <c r="C50" s="35" t="s">
        <v>134</v>
      </c>
      <c r="E50" s="38">
        <v>5.800000000000001E-2</v>
      </c>
      <c r="F50" s="38">
        <v>6.3220974253521689E-2</v>
      </c>
      <c r="G50" s="38">
        <v>0.10575638563645194</v>
      </c>
      <c r="I50" s="69" t="s">
        <v>134</v>
      </c>
      <c r="J50" s="37">
        <v>0.35620447064820493</v>
      </c>
      <c r="K50" s="37">
        <v>-8.4375654576428358E-2</v>
      </c>
      <c r="L50" s="37">
        <v>-0.36631001099905935</v>
      </c>
      <c r="M50" s="37">
        <v>-0.29925614424134667</v>
      </c>
      <c r="N50" s="37">
        <v>8.2551904128238696E-3</v>
      </c>
      <c r="O50" s="37">
        <v>-0.21951563280787664</v>
      </c>
      <c r="P50" s="37">
        <v>-0.14686410104350484</v>
      </c>
      <c r="Q50" s="37">
        <v>-0.28253329052325848</v>
      </c>
      <c r="R50" s="37">
        <v>-0.21491990838292105</v>
      </c>
      <c r="S50" s="37">
        <v>9.1037419146533516E-3</v>
      </c>
      <c r="T50" s="37">
        <v>-3.6767075621138963E-2</v>
      </c>
      <c r="U50" s="37">
        <v>0.43520538000792197</v>
      </c>
      <c r="V50" s="37">
        <v>0.51148918242773489</v>
      </c>
      <c r="W50" s="37">
        <v>-0.34665392668821848</v>
      </c>
      <c r="X50" s="37">
        <v>-0.19607352366130001</v>
      </c>
      <c r="Y50" s="37">
        <v>-0.31301755408979226</v>
      </c>
      <c r="Z50" s="37">
        <v>-0.1438392277413913</v>
      </c>
      <c r="AA50" s="37">
        <v>0.1987223275537342</v>
      </c>
      <c r="AB50" s="37">
        <v>0.22395266828615254</v>
      </c>
      <c r="AC50" s="37">
        <v>0.29747374637932106</v>
      </c>
      <c r="AD50" s="68">
        <v>-0.20728297277662613</v>
      </c>
      <c r="AE50" s="68">
        <v>0.42532506410768145</v>
      </c>
      <c r="AF50" s="68">
        <v>0.41363317531105398</v>
      </c>
      <c r="AG50" s="68">
        <v>0.41236294895791936</v>
      </c>
      <c r="AH50" s="68">
        <v>0.3802529957565039</v>
      </c>
      <c r="AI50" s="68">
        <v>0.31891978458762926</v>
      </c>
      <c r="AJ50" s="68">
        <v>0.35097132762953986</v>
      </c>
      <c r="AK50" s="68">
        <v>0.32075408810939088</v>
      </c>
      <c r="AL50" s="68">
        <v>0.42185235898510959</v>
      </c>
      <c r="AM50" s="68">
        <v>0.37645110124656</v>
      </c>
      <c r="AN50" s="68">
        <v>0.13049036848830206</v>
      </c>
      <c r="AO50" s="68">
        <v>0.36571298908323568</v>
      </c>
      <c r="AP50" s="68">
        <v>0.35324940614293826</v>
      </c>
      <c r="AQ50" s="68">
        <v>0.40248795784827446</v>
      </c>
      <c r="AR50" s="68">
        <v>0.4213863684954563</v>
      </c>
      <c r="AS50" s="68">
        <v>0.3905892661674264</v>
      </c>
      <c r="AT50" s="68">
        <v>0.39074340545034425</v>
      </c>
      <c r="AU50" s="68">
        <v>0.444347895270569</v>
      </c>
      <c r="AV50" s="68">
        <v>0.41262906703791158</v>
      </c>
      <c r="AW50" s="68">
        <v>0.40566675880292524</v>
      </c>
      <c r="AX50" s="68">
        <v>0.29427600885729566</v>
      </c>
      <c r="AY50" s="68">
        <v>0.29479818196799201</v>
      </c>
      <c r="AZ50" s="68">
        <v>0.26516398012678799</v>
      </c>
      <c r="BA50" s="68">
        <v>0.42741119010457357</v>
      </c>
      <c r="BB50" s="68">
        <v>1</v>
      </c>
      <c r="BC50" s="68"/>
      <c r="BD50" s="68"/>
      <c r="BE50" s="68"/>
      <c r="BF50" s="68"/>
      <c r="BG50" s="68"/>
      <c r="BH50" s="68"/>
      <c r="BI50" s="68"/>
      <c r="BJ50" s="68"/>
      <c r="BK50" s="68"/>
      <c r="BL50" s="68"/>
      <c r="BM50" s="68"/>
      <c r="BN50" s="68"/>
      <c r="BO50" s="68"/>
      <c r="BP50" s="68"/>
    </row>
    <row r="51" spans="2:68">
      <c r="B51" s="35" t="s">
        <v>21</v>
      </c>
      <c r="C51" s="35" t="s">
        <v>261</v>
      </c>
      <c r="E51" s="38">
        <v>7.6999999999999999E-2</v>
      </c>
      <c r="F51" s="38">
        <v>8.9498301124379065E-2</v>
      </c>
      <c r="G51" s="38">
        <v>0.16646215876961548</v>
      </c>
      <c r="I51" s="69" t="s">
        <v>261</v>
      </c>
      <c r="J51" s="37">
        <v>0.35592841747257692</v>
      </c>
      <c r="K51" s="37">
        <v>-8.4033399137746767E-2</v>
      </c>
      <c r="L51" s="37">
        <v>-0.36520500625970342</v>
      </c>
      <c r="M51" s="37">
        <v>-0.29793881792276256</v>
      </c>
      <c r="N51" s="37">
        <v>8.7567752113722527E-3</v>
      </c>
      <c r="O51" s="37">
        <v>-0.21873049380485252</v>
      </c>
      <c r="P51" s="37">
        <v>-0.14636690027723656</v>
      </c>
      <c r="Q51" s="37">
        <v>-0.28178618990094262</v>
      </c>
      <c r="R51" s="37">
        <v>-0.21440866734339703</v>
      </c>
      <c r="S51" s="37">
        <v>9.086976593930457E-3</v>
      </c>
      <c r="T51" s="37">
        <v>-3.6924073606043224E-2</v>
      </c>
      <c r="U51" s="37">
        <v>0.43442412026769572</v>
      </c>
      <c r="V51" s="37">
        <v>0.51074598079908939</v>
      </c>
      <c r="W51" s="37">
        <v>-0.34600396284459811</v>
      </c>
      <c r="X51" s="37">
        <v>-0.19616898932273116</v>
      </c>
      <c r="Y51" s="37">
        <v>-0.31308934793058335</v>
      </c>
      <c r="Z51" s="37">
        <v>-0.1444043072440237</v>
      </c>
      <c r="AA51" s="37">
        <v>0.1976768167017639</v>
      </c>
      <c r="AB51" s="37">
        <v>0.22295417825413713</v>
      </c>
      <c r="AC51" s="37">
        <v>0.29701339079537475</v>
      </c>
      <c r="AD51" s="68">
        <v>-0.20786888782233059</v>
      </c>
      <c r="AE51" s="68">
        <v>0.42527106232642625</v>
      </c>
      <c r="AF51" s="68">
        <v>0.41297295192632322</v>
      </c>
      <c r="AG51" s="68">
        <v>0.4115508913315572</v>
      </c>
      <c r="AH51" s="68">
        <v>0.37944548972712383</v>
      </c>
      <c r="AI51" s="68">
        <v>0.31818749545552594</v>
      </c>
      <c r="AJ51" s="68">
        <v>0.3502839496804826</v>
      </c>
      <c r="AK51" s="68">
        <v>0.32008770918307883</v>
      </c>
      <c r="AL51" s="68">
        <v>0.420617530233517</v>
      </c>
      <c r="AM51" s="68">
        <v>0.37563206580884584</v>
      </c>
      <c r="AN51" s="68">
        <v>0.13020911072299926</v>
      </c>
      <c r="AO51" s="68">
        <v>0.36507031582807681</v>
      </c>
      <c r="AP51" s="68">
        <v>0.35279974003991538</v>
      </c>
      <c r="AQ51" s="68">
        <v>0.40175723631365767</v>
      </c>
      <c r="AR51" s="68">
        <v>0.42020599714110424</v>
      </c>
      <c r="AS51" s="68">
        <v>0.39016713584395263</v>
      </c>
      <c r="AT51" s="68">
        <v>0.39000196821628824</v>
      </c>
      <c r="AU51" s="68">
        <v>0.44319922796369188</v>
      </c>
      <c r="AV51" s="68">
        <v>0.41125916874378987</v>
      </c>
      <c r="AW51" s="68">
        <v>0.40444398974060747</v>
      </c>
      <c r="AX51" s="68">
        <v>0.29427889048304168</v>
      </c>
      <c r="AY51" s="68">
        <v>0.29461087966633126</v>
      </c>
      <c r="AZ51" s="68">
        <v>0.26433975233335055</v>
      </c>
      <c r="BA51" s="68">
        <v>0.42653646993549671</v>
      </c>
      <c r="BB51" s="68">
        <v>0.99993550083828575</v>
      </c>
      <c r="BC51" s="68">
        <v>0.99999999999999989</v>
      </c>
      <c r="BD51" s="68"/>
      <c r="BE51" s="68"/>
      <c r="BF51" s="68"/>
      <c r="BG51" s="68"/>
      <c r="BH51" s="68"/>
      <c r="BI51" s="68"/>
      <c r="BJ51" s="68"/>
      <c r="BK51" s="68"/>
      <c r="BL51" s="68"/>
      <c r="BM51" s="68"/>
      <c r="BN51" s="68"/>
      <c r="BO51" s="68"/>
      <c r="BP51" s="68"/>
    </row>
    <row r="52" spans="2:68">
      <c r="B52" s="35" t="s">
        <v>21</v>
      </c>
      <c r="C52" s="35" t="s">
        <v>262</v>
      </c>
      <c r="E52" s="38">
        <v>6.0999999999999999E-2</v>
      </c>
      <c r="F52" s="38">
        <v>6.8108502358005474E-2</v>
      </c>
      <c r="G52" s="38">
        <v>0.12384769876223652</v>
      </c>
      <c r="I52" s="69" t="s">
        <v>262</v>
      </c>
      <c r="J52" s="37">
        <v>0.31001019781094807</v>
      </c>
      <c r="K52" s="37">
        <v>-7.1136420214701107E-4</v>
      </c>
      <c r="L52" s="37">
        <v>-0.51480301694954456</v>
      </c>
      <c r="M52" s="37">
        <v>-0.55569132828352064</v>
      </c>
      <c r="N52" s="37">
        <v>5.1946816992107972E-2</v>
      </c>
      <c r="O52" s="37">
        <v>-0.27836924707563149</v>
      </c>
      <c r="P52" s="37">
        <v>-0.25342326832207085</v>
      </c>
      <c r="Q52" s="37">
        <v>-0.1750284717202473</v>
      </c>
      <c r="R52" s="37">
        <v>-0.31948398015862334</v>
      </c>
      <c r="S52" s="37">
        <v>0.15375753377750007</v>
      </c>
      <c r="T52" s="37">
        <v>3.452282984135361E-2</v>
      </c>
      <c r="U52" s="37">
        <v>0.62549269975174371</v>
      </c>
      <c r="V52" s="37">
        <v>0.60172906298545858</v>
      </c>
      <c r="W52" s="37">
        <v>-0.53938030855580255</v>
      </c>
      <c r="X52" s="37">
        <v>3.1970600020388179E-2</v>
      </c>
      <c r="Y52" s="37">
        <v>-0.46707461623229179</v>
      </c>
      <c r="Z52" s="37">
        <v>0.16072791029482719</v>
      </c>
      <c r="AA52" s="37">
        <v>0.42147596777671842</v>
      </c>
      <c r="AB52" s="37">
        <v>0.52550168830840527</v>
      </c>
      <c r="AC52" s="37">
        <v>0.50266071367882914</v>
      </c>
      <c r="AD52" s="68">
        <v>-8.3547376671561313E-2</v>
      </c>
      <c r="AE52" s="68">
        <v>0.32897073527859833</v>
      </c>
      <c r="AF52" s="68">
        <v>0.58683497948417451</v>
      </c>
      <c r="AG52" s="68">
        <v>0.61043946484913869</v>
      </c>
      <c r="AH52" s="68">
        <v>0.54448105724125473</v>
      </c>
      <c r="AI52" s="68">
        <v>0.69753826949013042</v>
      </c>
      <c r="AJ52" s="68">
        <v>0.54092895467040059</v>
      </c>
      <c r="AK52" s="68">
        <v>0.59301931824763154</v>
      </c>
      <c r="AL52" s="68">
        <v>0.75654118808380078</v>
      </c>
      <c r="AM52" s="68">
        <v>0.71554879847755559</v>
      </c>
      <c r="AN52" s="68">
        <v>0.40763064687779788</v>
      </c>
      <c r="AO52" s="68">
        <v>0.7236056651477959</v>
      </c>
      <c r="AP52" s="68">
        <v>0.67138772319910334</v>
      </c>
      <c r="AQ52" s="68">
        <v>0.68673643603936074</v>
      </c>
      <c r="AR52" s="68">
        <v>0.58305181987503152</v>
      </c>
      <c r="AS52" s="68">
        <v>0.58520946508154181</v>
      </c>
      <c r="AT52" s="68">
        <v>0.5700823087987309</v>
      </c>
      <c r="AU52" s="68">
        <v>0.50699720663613812</v>
      </c>
      <c r="AV52" s="68">
        <v>0.56313859294639312</v>
      </c>
      <c r="AW52" s="68">
        <v>0.58088853656685946</v>
      </c>
      <c r="AX52" s="68">
        <v>0.62668400399557778</v>
      </c>
      <c r="AY52" s="68">
        <v>0.64557964058122175</v>
      </c>
      <c r="AZ52" s="68">
        <v>0.33078468653365051</v>
      </c>
      <c r="BA52" s="68">
        <v>0.82499290044633466</v>
      </c>
      <c r="BB52" s="68">
        <v>0.50855414902023321</v>
      </c>
      <c r="BC52" s="68">
        <v>0.50756092259764529</v>
      </c>
      <c r="BD52" s="68">
        <v>1.0000000000000002</v>
      </c>
      <c r="BE52" s="68"/>
      <c r="BF52" s="68"/>
      <c r="BG52" s="68"/>
      <c r="BH52" s="68"/>
      <c r="BI52" s="68"/>
      <c r="BJ52" s="68"/>
      <c r="BK52" s="68"/>
      <c r="BL52" s="68"/>
      <c r="BM52" s="68"/>
      <c r="BN52" s="68"/>
      <c r="BO52" s="68"/>
      <c r="BP52" s="68"/>
    </row>
    <row r="53" spans="2:68">
      <c r="B53" s="35" t="s">
        <v>21</v>
      </c>
      <c r="C53" s="35" t="s">
        <v>263</v>
      </c>
      <c r="E53" s="38">
        <v>7.4999999999999997E-2</v>
      </c>
      <c r="F53" s="38">
        <v>8.4414776606060324E-2</v>
      </c>
      <c r="G53" s="38">
        <v>0.1438334861471976</v>
      </c>
      <c r="I53" s="69" t="s">
        <v>263</v>
      </c>
      <c r="J53" s="37">
        <v>0.31684164174878665</v>
      </c>
      <c r="K53" s="37">
        <v>-6.3534477771876513E-2</v>
      </c>
      <c r="L53" s="37">
        <v>-0.37136507808561381</v>
      </c>
      <c r="M53" s="37">
        <v>-0.3046794102813436</v>
      </c>
      <c r="N53" s="37">
        <v>0.16817714306501474</v>
      </c>
      <c r="O53" s="37">
        <v>-6.2816640224384698E-2</v>
      </c>
      <c r="P53" s="37">
        <v>-3.5032928335472967E-2</v>
      </c>
      <c r="Q53" s="37">
        <v>-0.15693667594746749</v>
      </c>
      <c r="R53" s="37">
        <v>-5.8795215742864282E-2</v>
      </c>
      <c r="S53" s="37">
        <v>0.27815134269657643</v>
      </c>
      <c r="T53" s="37">
        <v>0.226435991703407</v>
      </c>
      <c r="U53" s="37">
        <v>0.61991164349582561</v>
      </c>
      <c r="V53" s="37">
        <v>0.61707989508593852</v>
      </c>
      <c r="W53" s="37">
        <v>-0.34977617017034957</v>
      </c>
      <c r="X53" s="37">
        <v>6.7071622203374107E-2</v>
      </c>
      <c r="Y53" s="37">
        <v>-0.30446046544256239</v>
      </c>
      <c r="Z53" s="37">
        <v>0.15515082691526288</v>
      </c>
      <c r="AA53" s="37">
        <v>0.4448922423811264</v>
      </c>
      <c r="AB53" s="37">
        <v>0.46919510716369711</v>
      </c>
      <c r="AC53" s="37">
        <v>0.50886294190864512</v>
      </c>
      <c r="AD53" s="68">
        <v>2.1895670693468556E-2</v>
      </c>
      <c r="AE53" s="68">
        <v>0.44952448581310156</v>
      </c>
      <c r="AF53" s="68">
        <v>0.59117903486046031</v>
      </c>
      <c r="AG53" s="68">
        <v>0.60307553872370867</v>
      </c>
      <c r="AH53" s="68">
        <v>0.50577723424638821</v>
      </c>
      <c r="AI53" s="68">
        <v>0.59810939401232688</v>
      </c>
      <c r="AJ53" s="68">
        <v>0.53248701498100803</v>
      </c>
      <c r="AK53" s="68">
        <v>0.59567096226444693</v>
      </c>
      <c r="AL53" s="68">
        <v>0.67100152575354399</v>
      </c>
      <c r="AM53" s="68">
        <v>0.65061378110212176</v>
      </c>
      <c r="AN53" s="68">
        <v>0.30299709006904973</v>
      </c>
      <c r="AO53" s="68">
        <v>0.6465555148904687</v>
      </c>
      <c r="AP53" s="68">
        <v>0.62287564906106974</v>
      </c>
      <c r="AQ53" s="68">
        <v>0.64861918878478264</v>
      </c>
      <c r="AR53" s="68">
        <v>0.58086548165843077</v>
      </c>
      <c r="AS53" s="68">
        <v>0.59193832535357671</v>
      </c>
      <c r="AT53" s="68">
        <v>0.56590335369176192</v>
      </c>
      <c r="AU53" s="68">
        <v>0.57992184374292211</v>
      </c>
      <c r="AV53" s="68">
        <v>0.59091070548267</v>
      </c>
      <c r="AW53" s="68">
        <v>0.58733370871517354</v>
      </c>
      <c r="AX53" s="68">
        <v>0.54887329202417778</v>
      </c>
      <c r="AY53" s="68">
        <v>0.55954169714012614</v>
      </c>
      <c r="AZ53" s="68">
        <v>0.46051017762059354</v>
      </c>
      <c r="BA53" s="68">
        <v>0.61450574607639219</v>
      </c>
      <c r="BB53" s="68">
        <v>0.74103621208081072</v>
      </c>
      <c r="BC53" s="68">
        <v>0.7406047443340561</v>
      </c>
      <c r="BD53" s="68">
        <v>0.69286115180060004</v>
      </c>
      <c r="BE53" s="68">
        <v>1</v>
      </c>
      <c r="BF53" s="68"/>
      <c r="BG53" s="68"/>
      <c r="BH53" s="68"/>
      <c r="BI53" s="68"/>
      <c r="BJ53" s="68"/>
      <c r="BK53" s="68"/>
      <c r="BL53" s="68"/>
      <c r="BM53" s="68"/>
      <c r="BN53" s="68"/>
      <c r="BO53" s="68"/>
      <c r="BP53" s="68"/>
    </row>
    <row r="54" spans="2:68">
      <c r="B54" s="35" t="s">
        <v>21</v>
      </c>
      <c r="C54" s="35" t="s">
        <v>264</v>
      </c>
      <c r="E54" s="38">
        <v>5.7000000000000002E-2</v>
      </c>
      <c r="F54" s="38">
        <v>6.7532141004004176E-2</v>
      </c>
      <c r="G54" s="38">
        <v>0.15107616692856263</v>
      </c>
      <c r="I54" s="69" t="s">
        <v>264</v>
      </c>
      <c r="J54" s="37">
        <v>1.0031815241492513E-2</v>
      </c>
      <c r="K54" s="37">
        <v>-6.3874860798016811E-2</v>
      </c>
      <c r="L54" s="37">
        <v>-6.2907447015656717E-2</v>
      </c>
      <c r="M54" s="37">
        <v>2.0482545021964768E-2</v>
      </c>
      <c r="N54" s="37">
        <v>0.2624726521896445</v>
      </c>
      <c r="O54" s="37">
        <v>0.26079386831376355</v>
      </c>
      <c r="P54" s="37">
        <v>0.22658463181090427</v>
      </c>
      <c r="Q54" s="37">
        <v>5.357104225876469E-2</v>
      </c>
      <c r="R54" s="37">
        <v>0.26654679810620824</v>
      </c>
      <c r="S54" s="37">
        <v>0.46043849736500775</v>
      </c>
      <c r="T54" s="37">
        <v>0.44836088656968237</v>
      </c>
      <c r="U54" s="37">
        <v>0.64241927870358972</v>
      </c>
      <c r="V54" s="37">
        <v>0.41591864302933307</v>
      </c>
      <c r="W54" s="37">
        <v>8.3865824120126706E-2</v>
      </c>
      <c r="X54" s="37">
        <v>0.25838925401082924</v>
      </c>
      <c r="Y54" s="37">
        <v>0.14261212582696567</v>
      </c>
      <c r="Z54" s="37">
        <v>0.30199442547179939</v>
      </c>
      <c r="AA54" s="37">
        <v>0.55978581756747992</v>
      </c>
      <c r="AB54" s="37">
        <v>0.56618740640666332</v>
      </c>
      <c r="AC54" s="37">
        <v>0.50320957686047996</v>
      </c>
      <c r="AD54" s="68">
        <v>0.2141940866863899</v>
      </c>
      <c r="AE54" s="68">
        <v>0.26888077104833996</v>
      </c>
      <c r="AF54" s="68">
        <v>0.73382593209978586</v>
      </c>
      <c r="AG54" s="68">
        <v>0.75865704323478456</v>
      </c>
      <c r="AH54" s="68">
        <v>0.72739387691023893</v>
      </c>
      <c r="AI54" s="68">
        <v>0.65088214872892702</v>
      </c>
      <c r="AJ54" s="68">
        <v>0.52077826964639895</v>
      </c>
      <c r="AK54" s="68">
        <v>0.48432386852086612</v>
      </c>
      <c r="AL54" s="68">
        <v>0.61579881950440685</v>
      </c>
      <c r="AM54" s="68">
        <v>0.67102199228773629</v>
      </c>
      <c r="AN54" s="68">
        <v>0.15717059981836112</v>
      </c>
      <c r="AO54" s="68">
        <v>0.57196018477883293</v>
      </c>
      <c r="AP54" s="68">
        <v>0.55676388590305059</v>
      </c>
      <c r="AQ54" s="68">
        <v>0.71117764445378451</v>
      </c>
      <c r="AR54" s="68">
        <v>0.75030476314385253</v>
      </c>
      <c r="AS54" s="68">
        <v>0.71151727784628849</v>
      </c>
      <c r="AT54" s="68">
        <v>0.74639050135751084</v>
      </c>
      <c r="AU54" s="68">
        <v>0.81084296524019794</v>
      </c>
      <c r="AV54" s="68">
        <v>0.7977669565064095</v>
      </c>
      <c r="AW54" s="68">
        <v>0.75809224154984645</v>
      </c>
      <c r="AX54" s="68">
        <v>0.63228174118440617</v>
      </c>
      <c r="AY54" s="68">
        <v>0.61624694243370304</v>
      </c>
      <c r="AZ54" s="68">
        <v>0.28422279918922477</v>
      </c>
      <c r="BA54" s="68">
        <v>0.51660494943026303</v>
      </c>
      <c r="BB54" s="68">
        <v>0.5401525955564136</v>
      </c>
      <c r="BC54" s="68">
        <v>0.53956360251834345</v>
      </c>
      <c r="BD54" s="68">
        <v>0.39269796879400332</v>
      </c>
      <c r="BE54" s="68">
        <v>0.5822502335926697</v>
      </c>
      <c r="BF54" s="68">
        <v>0.99999999999999989</v>
      </c>
      <c r="BG54" s="68"/>
      <c r="BH54" s="68"/>
      <c r="BI54" s="68"/>
      <c r="BJ54" s="68"/>
      <c r="BK54" s="68"/>
      <c r="BL54" s="68"/>
      <c r="BM54" s="68"/>
      <c r="BN54" s="68"/>
      <c r="BO54" s="68"/>
      <c r="BP54" s="68"/>
    </row>
    <row r="55" spans="2:68">
      <c r="B55" s="35" t="s">
        <v>21</v>
      </c>
      <c r="C55" s="35" t="s">
        <v>136</v>
      </c>
      <c r="E55" s="38">
        <v>6.0999999999999999E-2</v>
      </c>
      <c r="F55" s="38">
        <v>6.6363353272716363E-2</v>
      </c>
      <c r="G55" s="38">
        <v>0.10735662909570452</v>
      </c>
      <c r="I55" s="69" t="s">
        <v>136</v>
      </c>
      <c r="J55" s="37">
        <v>0.1910653030211443</v>
      </c>
      <c r="K55" s="37">
        <v>-3.5554166352535076E-2</v>
      </c>
      <c r="L55" s="37">
        <v>-0.29778882769508314</v>
      </c>
      <c r="M55" s="37">
        <v>-0.33554388703774024</v>
      </c>
      <c r="N55" s="37">
        <v>0.21225218179846464</v>
      </c>
      <c r="O55" s="37">
        <v>-2.0369689250146931E-2</v>
      </c>
      <c r="P55" s="37">
        <v>-2.770326697288265E-2</v>
      </c>
      <c r="Q55" s="37">
        <v>-2.092288357816172E-3</v>
      </c>
      <c r="R55" s="37">
        <v>-7.3020880740814212E-2</v>
      </c>
      <c r="S55" s="37">
        <v>0.3069857766879478</v>
      </c>
      <c r="T55" s="37">
        <v>0.22123496107529522</v>
      </c>
      <c r="U55" s="37">
        <v>0.56586559887977927</v>
      </c>
      <c r="V55" s="37">
        <v>0.55611149036897878</v>
      </c>
      <c r="W55" s="37">
        <v>-0.26170279678567721</v>
      </c>
      <c r="X55" s="37">
        <v>0.21447687119571313</v>
      </c>
      <c r="Y55" s="37">
        <v>-0.18983665381513828</v>
      </c>
      <c r="Z55" s="37">
        <v>0.31659496244812307</v>
      </c>
      <c r="AA55" s="37">
        <v>0.51493082283281333</v>
      </c>
      <c r="AB55" s="37">
        <v>0.55409416683963231</v>
      </c>
      <c r="AC55" s="37">
        <v>0.52540092460666998</v>
      </c>
      <c r="AD55" s="68">
        <v>8.9456226102440153E-2</v>
      </c>
      <c r="AE55" s="68">
        <v>0.28620576132569259</v>
      </c>
      <c r="AF55" s="68">
        <v>0.52750970993714552</v>
      </c>
      <c r="AG55" s="68">
        <v>0.50446461893028538</v>
      </c>
      <c r="AH55" s="68">
        <v>0.44754835848115093</v>
      </c>
      <c r="AI55" s="68">
        <v>0.59630193782047425</v>
      </c>
      <c r="AJ55" s="68">
        <v>0.44641562253854339</v>
      </c>
      <c r="AK55" s="68">
        <v>0.59252067558036303</v>
      </c>
      <c r="AL55" s="68">
        <v>0.61935788385544244</v>
      </c>
      <c r="AM55" s="68">
        <v>0.60182771579747696</v>
      </c>
      <c r="AN55" s="68">
        <v>0.18688315969397057</v>
      </c>
      <c r="AO55" s="68">
        <v>0.63432766524416151</v>
      </c>
      <c r="AP55" s="68">
        <v>0.58304749239103748</v>
      </c>
      <c r="AQ55" s="68">
        <v>0.59945057890412401</v>
      </c>
      <c r="AR55" s="68">
        <v>0.49716168443637571</v>
      </c>
      <c r="AS55" s="68">
        <v>0.51948318971874752</v>
      </c>
      <c r="AT55" s="68">
        <v>0.50531780011393379</v>
      </c>
      <c r="AU55" s="68">
        <v>0.45563400241232566</v>
      </c>
      <c r="AV55" s="68">
        <v>0.49026021821961024</v>
      </c>
      <c r="AW55" s="68">
        <v>0.49769193156015207</v>
      </c>
      <c r="AX55" s="68">
        <v>0.50893949896194346</v>
      </c>
      <c r="AY55" s="68">
        <v>0.50703255169495143</v>
      </c>
      <c r="AZ55" s="68">
        <v>0.19564048959707106</v>
      </c>
      <c r="BA55" s="68">
        <v>0.64589698118322958</v>
      </c>
      <c r="BB55" s="68">
        <v>0.38186524473730771</v>
      </c>
      <c r="BC55" s="68">
        <v>0.38159761651927565</v>
      </c>
      <c r="BD55" s="68">
        <v>0.628886102464008</v>
      </c>
      <c r="BE55" s="68">
        <v>0.50181153699368819</v>
      </c>
      <c r="BF55" s="68">
        <v>0.38054700602494024</v>
      </c>
      <c r="BG55" s="68">
        <v>0.99999999999999989</v>
      </c>
      <c r="BH55" s="68"/>
      <c r="BI55" s="68"/>
      <c r="BJ55" s="68"/>
      <c r="BK55" s="68"/>
      <c r="BL55" s="68"/>
      <c r="BM55" s="68"/>
      <c r="BN55" s="68"/>
      <c r="BO55" s="68"/>
      <c r="BP55" s="68"/>
    </row>
    <row r="56" spans="2:68">
      <c r="B56" s="35" t="s">
        <v>21</v>
      </c>
      <c r="C56" s="35" t="s">
        <v>265</v>
      </c>
      <c r="E56" s="38">
        <v>7.3999999999999996E-2</v>
      </c>
      <c r="F56" s="38">
        <v>8.208996132463886E-2</v>
      </c>
      <c r="G56" s="38">
        <v>0.13306558516787806</v>
      </c>
      <c r="I56" s="69" t="s">
        <v>265</v>
      </c>
      <c r="J56" s="37">
        <v>0.31144055489070155</v>
      </c>
      <c r="K56" s="37">
        <v>7.283046391993106E-2</v>
      </c>
      <c r="L56" s="37">
        <v>-5.881967804655211E-2</v>
      </c>
      <c r="M56" s="37">
        <v>-6.934310644249142E-2</v>
      </c>
      <c r="N56" s="37">
        <v>1.8344484896244913E-2</v>
      </c>
      <c r="O56" s="37">
        <v>-0.10477353383368025</v>
      </c>
      <c r="P56" s="37">
        <v>-5.0612974798985771E-2</v>
      </c>
      <c r="Q56" s="37">
        <v>-8.6156881807994606E-2</v>
      </c>
      <c r="R56" s="37">
        <v>-0.13181957302332212</v>
      </c>
      <c r="S56" s="37">
        <v>-0.13984468251038482</v>
      </c>
      <c r="T56" s="37">
        <v>-0.15389980995170063</v>
      </c>
      <c r="U56" s="37">
        <v>5.8995195840352559E-2</v>
      </c>
      <c r="V56" s="37">
        <v>0.13171396224897394</v>
      </c>
      <c r="W56" s="37">
        <v>-0.11810605983324422</v>
      </c>
      <c r="X56" s="37">
        <v>-6.4978769954774265E-2</v>
      </c>
      <c r="Y56" s="37">
        <v>-0.15136921400202882</v>
      </c>
      <c r="Z56" s="37">
        <v>-6.9743793811629345E-2</v>
      </c>
      <c r="AA56" s="37">
        <v>-7.184713312815133E-2</v>
      </c>
      <c r="AB56" s="37">
        <v>9.5666425116838934E-3</v>
      </c>
      <c r="AC56" s="37">
        <v>1.1590212195317327E-3</v>
      </c>
      <c r="AD56" s="68">
        <v>-0.23338872727303436</v>
      </c>
      <c r="AE56" s="68">
        <v>0.14626275682716874</v>
      </c>
      <c r="AF56" s="68">
        <v>6.7197699387553517E-2</v>
      </c>
      <c r="AG56" s="68">
        <v>8.0971198858868096E-2</v>
      </c>
      <c r="AH56" s="68">
        <v>8.8621458878868242E-2</v>
      </c>
      <c r="AI56" s="68">
        <v>0.11540637648844165</v>
      </c>
      <c r="AJ56" s="68">
        <v>-4.1113973365244118E-2</v>
      </c>
      <c r="AK56" s="68">
        <v>-9.2339273988285564E-2</v>
      </c>
      <c r="AL56" s="68">
        <v>9.0512105580673019E-2</v>
      </c>
      <c r="AM56" s="68">
        <v>6.5559897654412738E-2</v>
      </c>
      <c r="AN56" s="68">
        <v>-0.10937574536841835</v>
      </c>
      <c r="AO56" s="68">
        <v>-1.045970008195995E-2</v>
      </c>
      <c r="AP56" s="68">
        <v>-5.1243388428154402E-2</v>
      </c>
      <c r="AQ56" s="68">
        <v>5.2242105525023078E-2</v>
      </c>
      <c r="AR56" s="68">
        <v>9.6819522242960504E-2</v>
      </c>
      <c r="AS56" s="68">
        <v>5.3273715702968107E-2</v>
      </c>
      <c r="AT56" s="68">
        <v>6.7821875757981265E-2</v>
      </c>
      <c r="AU56" s="68">
        <v>0.12913687490127201</v>
      </c>
      <c r="AV56" s="68">
        <v>8.5222324159953622E-2</v>
      </c>
      <c r="AW56" s="68">
        <v>6.5822986666681557E-2</v>
      </c>
      <c r="AX56" s="68">
        <v>-4.6450124572279108E-2</v>
      </c>
      <c r="AY56" s="68">
        <v>-3.246992765591903E-2</v>
      </c>
      <c r="AZ56" s="68">
        <v>0.15831528144765192</v>
      </c>
      <c r="BA56" s="68">
        <v>5.637681616528957E-2</v>
      </c>
      <c r="BB56" s="68">
        <v>0.55705741317372393</v>
      </c>
      <c r="BC56" s="68">
        <v>0.55798227460176919</v>
      </c>
      <c r="BD56" s="68">
        <v>0.27366825590737492</v>
      </c>
      <c r="BE56" s="68">
        <v>0.32980528716131902</v>
      </c>
      <c r="BF56" s="68">
        <v>0.28306505356108169</v>
      </c>
      <c r="BG56" s="68">
        <v>0.16733741651170683</v>
      </c>
      <c r="BH56" s="68">
        <v>1</v>
      </c>
      <c r="BI56" s="68"/>
      <c r="BJ56" s="68"/>
      <c r="BK56" s="68"/>
      <c r="BL56" s="68"/>
      <c r="BM56" s="68"/>
      <c r="BN56" s="68"/>
      <c r="BO56" s="68"/>
      <c r="BP56" s="68"/>
    </row>
    <row r="57" spans="2:68">
      <c r="B57" s="35" t="s">
        <v>21</v>
      </c>
      <c r="C57" s="35" t="s">
        <v>137</v>
      </c>
      <c r="E57" s="38">
        <v>3.5999999999999997E-2</v>
      </c>
      <c r="F57" s="38">
        <v>3.8248588504564252E-2</v>
      </c>
      <c r="G57" s="38">
        <v>6.844267713291681E-2</v>
      </c>
      <c r="I57" s="69" t="s">
        <v>137</v>
      </c>
      <c r="J57" s="37">
        <v>0.18034505289492933</v>
      </c>
      <c r="K57" s="37">
        <v>1.4777656847268684E-2</v>
      </c>
      <c r="L57" s="37">
        <v>-0.42478807039729249</v>
      </c>
      <c r="M57" s="37">
        <v>-0.33459931353587791</v>
      </c>
      <c r="N57" s="37">
        <v>0.15578954273986467</v>
      </c>
      <c r="O57" s="37">
        <v>-6.0710389793818723E-2</v>
      </c>
      <c r="P57" s="37">
        <v>-0.14174425038566763</v>
      </c>
      <c r="Q57" s="37">
        <v>-0.12260904953436794</v>
      </c>
      <c r="R57" s="37">
        <v>-3.186784003468815E-2</v>
      </c>
      <c r="S57" s="37">
        <v>0.33297489743934316</v>
      </c>
      <c r="T57" s="37">
        <v>0.27329218677260309</v>
      </c>
      <c r="U57" s="37">
        <v>0.62618216733146326</v>
      </c>
      <c r="V57" s="37">
        <v>0.67357783952395978</v>
      </c>
      <c r="W57" s="37">
        <v>-0.32673871473761013</v>
      </c>
      <c r="X57" s="37">
        <v>-2.3328043150870784E-2</v>
      </c>
      <c r="Y57" s="37">
        <v>-0.23592942048949733</v>
      </c>
      <c r="Z57" s="37">
        <v>7.1255382634057757E-2</v>
      </c>
      <c r="AA57" s="37">
        <v>0.45584392875923574</v>
      </c>
      <c r="AB57" s="37">
        <v>0.41998064149646414</v>
      </c>
      <c r="AC57" s="37">
        <v>0.51162700446417986</v>
      </c>
      <c r="AD57" s="68">
        <v>1.9257732937540007E-2</v>
      </c>
      <c r="AE57" s="68">
        <v>0.39624895091331669</v>
      </c>
      <c r="AF57" s="68">
        <v>0.7104737200428044</v>
      </c>
      <c r="AG57" s="68">
        <v>0.73343752082266422</v>
      </c>
      <c r="AH57" s="68">
        <v>0.64133166259639374</v>
      </c>
      <c r="AI57" s="68">
        <v>0.67263009426783704</v>
      </c>
      <c r="AJ57" s="68">
        <v>0.61646646756087975</v>
      </c>
      <c r="AK57" s="68">
        <v>0.61882931227036442</v>
      </c>
      <c r="AL57" s="68">
        <v>0.72732565208008293</v>
      </c>
      <c r="AM57" s="68">
        <v>0.72663412196809107</v>
      </c>
      <c r="AN57" s="68">
        <v>0.45653036352798104</v>
      </c>
      <c r="AO57" s="68">
        <v>0.6979414951437577</v>
      </c>
      <c r="AP57" s="68">
        <v>0.67096852437573307</v>
      </c>
      <c r="AQ57" s="68">
        <v>0.75557491758883333</v>
      </c>
      <c r="AR57" s="68">
        <v>0.65471310752038181</v>
      </c>
      <c r="AS57" s="68">
        <v>0.7699251086624167</v>
      </c>
      <c r="AT57" s="68">
        <v>0.68855927430902686</v>
      </c>
      <c r="AU57" s="68">
        <v>0.62878178490247749</v>
      </c>
      <c r="AV57" s="68">
        <v>0.64134449942027871</v>
      </c>
      <c r="AW57" s="68">
        <v>0.69894900901004076</v>
      </c>
      <c r="AX57" s="68">
        <v>0.7790986846435769</v>
      </c>
      <c r="AY57" s="68">
        <v>0.80705767683720631</v>
      </c>
      <c r="AZ57" s="68">
        <v>0.52050121288444429</v>
      </c>
      <c r="BA57" s="68">
        <v>0.80329471095249139</v>
      </c>
      <c r="BB57" s="68">
        <v>0.370306194121445</v>
      </c>
      <c r="BC57" s="68">
        <v>0.36977848722989887</v>
      </c>
      <c r="BD57" s="68">
        <v>0.64953728999629978</v>
      </c>
      <c r="BE57" s="68">
        <v>0.56762362887646445</v>
      </c>
      <c r="BF57" s="68">
        <v>0.40535153219289249</v>
      </c>
      <c r="BG57" s="68">
        <v>0.45809993061982912</v>
      </c>
      <c r="BH57" s="68">
        <v>5.6839585092541112E-2</v>
      </c>
      <c r="BI57" s="68">
        <v>0.99999999999999978</v>
      </c>
      <c r="BJ57" s="68"/>
      <c r="BK57" s="68"/>
      <c r="BL57" s="68"/>
      <c r="BM57" s="68"/>
      <c r="BN57" s="68"/>
      <c r="BO57" s="68"/>
      <c r="BP57" s="68"/>
    </row>
    <row r="58" spans="2:68">
      <c r="B58" s="35" t="s">
        <v>21</v>
      </c>
      <c r="C58" s="35" t="s">
        <v>266</v>
      </c>
      <c r="E58" s="38">
        <v>3.2000000000000001E-2</v>
      </c>
      <c r="F58" s="38">
        <v>3.548347960137721E-2</v>
      </c>
      <c r="G58" s="38">
        <v>8.5151271430506895E-2</v>
      </c>
      <c r="I58" s="69" t="s">
        <v>266</v>
      </c>
      <c r="J58" s="37">
        <v>0.17780224189729976</v>
      </c>
      <c r="K58" s="37">
        <v>-9.2693870105720388E-2</v>
      </c>
      <c r="L58" s="37">
        <v>-0.46830444539713534</v>
      </c>
      <c r="M58" s="37">
        <v>-0.45074149181172191</v>
      </c>
      <c r="N58" s="37">
        <v>0.11732883589174131</v>
      </c>
      <c r="O58" s="37">
        <v>-8.1460805735396727E-2</v>
      </c>
      <c r="P58" s="37">
        <v>-0.13952884559814566</v>
      </c>
      <c r="Q58" s="37">
        <v>-8.9130178966633875E-2</v>
      </c>
      <c r="R58" s="37">
        <v>-8.4102059829092315E-2</v>
      </c>
      <c r="S58" s="37">
        <v>0.31649186262742285</v>
      </c>
      <c r="T58" s="37">
        <v>0.2505594428121703</v>
      </c>
      <c r="U58" s="37">
        <v>0.76390486666936175</v>
      </c>
      <c r="V58" s="37">
        <v>0.7634774744748144</v>
      </c>
      <c r="W58" s="37">
        <v>-0.39091139790212198</v>
      </c>
      <c r="X58" s="37">
        <v>2.3095784489608018E-2</v>
      </c>
      <c r="Y58" s="37">
        <v>-0.28117151982098831</v>
      </c>
      <c r="Z58" s="37">
        <v>0.13616429059000762</v>
      </c>
      <c r="AA58" s="37">
        <v>0.49922187457141115</v>
      </c>
      <c r="AB58" s="37">
        <v>0.52770442911973203</v>
      </c>
      <c r="AC58" s="37">
        <v>0.58529427859836447</v>
      </c>
      <c r="AD58" s="68">
        <v>4.223915181313158E-3</v>
      </c>
      <c r="AE58" s="68">
        <v>0.32834073514640366</v>
      </c>
      <c r="AF58" s="68">
        <v>0.80697576097561674</v>
      </c>
      <c r="AG58" s="68">
        <v>0.84155291246003461</v>
      </c>
      <c r="AH58" s="68">
        <v>0.79485376613060887</v>
      </c>
      <c r="AI58" s="68">
        <v>0.77303833922234366</v>
      </c>
      <c r="AJ58" s="68">
        <v>0.67879928442945203</v>
      </c>
      <c r="AK58" s="68">
        <v>0.68973358731703549</v>
      </c>
      <c r="AL58" s="68">
        <v>0.82595977858580183</v>
      </c>
      <c r="AM58" s="68">
        <v>0.82515934931687651</v>
      </c>
      <c r="AN58" s="68">
        <v>0.44793358114180343</v>
      </c>
      <c r="AO58" s="68">
        <v>0.77693194241315655</v>
      </c>
      <c r="AP58" s="68">
        <v>0.7417225218724649</v>
      </c>
      <c r="AQ58" s="68">
        <v>0.85476479336460376</v>
      </c>
      <c r="AR58" s="68">
        <v>0.80390470036042871</v>
      </c>
      <c r="AS58" s="68">
        <v>0.81816895726475736</v>
      </c>
      <c r="AT58" s="68">
        <v>0.78181381891676194</v>
      </c>
      <c r="AU58" s="68">
        <v>0.71112930609541936</v>
      </c>
      <c r="AV58" s="68">
        <v>0.78383125274258103</v>
      </c>
      <c r="AW58" s="68">
        <v>0.80250876823186001</v>
      </c>
      <c r="AX58" s="68">
        <v>0.84959287021382546</v>
      </c>
      <c r="AY58" s="68">
        <v>0.87134088031604096</v>
      </c>
      <c r="AZ58" s="68">
        <v>0.56117203167947605</v>
      </c>
      <c r="BA58" s="68">
        <v>0.85000272299530888</v>
      </c>
      <c r="BB58" s="68">
        <v>0.4274173730240079</v>
      </c>
      <c r="BC58" s="68">
        <v>0.42632494710459989</v>
      </c>
      <c r="BD58" s="68">
        <v>0.6993566989548814</v>
      </c>
      <c r="BE58" s="68">
        <v>0.62033545335073603</v>
      </c>
      <c r="BF58" s="68">
        <v>0.5345961880974317</v>
      </c>
      <c r="BG58" s="68">
        <v>0.5106955253195069</v>
      </c>
      <c r="BH58" s="68">
        <v>8.0190732769178846E-2</v>
      </c>
      <c r="BI58" s="68">
        <v>0.87041094441613087</v>
      </c>
      <c r="BJ58" s="68">
        <v>0.99999999999999989</v>
      </c>
      <c r="BK58" s="68"/>
      <c r="BL58" s="68"/>
      <c r="BM58" s="68"/>
      <c r="BN58" s="68"/>
      <c r="BO58" s="68"/>
      <c r="BP58" s="68"/>
    </row>
    <row r="59" spans="2:68">
      <c r="B59" s="35" t="s">
        <v>21</v>
      </c>
      <c r="C59" s="35" t="s">
        <v>267</v>
      </c>
      <c r="E59" s="38">
        <v>3.3000000000000002E-2</v>
      </c>
      <c r="F59" s="38">
        <v>3.8517356130923108E-2</v>
      </c>
      <c r="G59" s="38">
        <v>0.10747890530994468</v>
      </c>
      <c r="I59" s="69" t="s">
        <v>267</v>
      </c>
      <c r="J59" s="37">
        <v>9.7952353492275129E-2</v>
      </c>
      <c r="K59" s="37">
        <v>-8.2971602033373559E-2</v>
      </c>
      <c r="L59" s="37">
        <v>-0.41122699301238941</v>
      </c>
      <c r="M59" s="37">
        <v>-0.3943622603338528</v>
      </c>
      <c r="N59" s="37">
        <v>0.14110725168830379</v>
      </c>
      <c r="O59" s="37">
        <v>-2.1469087920175354E-2</v>
      </c>
      <c r="P59" s="37">
        <v>-8.5325031047693248E-2</v>
      </c>
      <c r="Q59" s="37">
        <v>-3.1209843754087249E-2</v>
      </c>
      <c r="R59" s="37">
        <v>-2.8185952671832215E-2</v>
      </c>
      <c r="S59" s="37">
        <v>0.34723468877912395</v>
      </c>
      <c r="T59" s="37">
        <v>0.29084567203327777</v>
      </c>
      <c r="U59" s="37">
        <v>0.75328244203459682</v>
      </c>
      <c r="V59" s="37">
        <v>0.68122754950220621</v>
      </c>
      <c r="W59" s="37">
        <v>-0.34116157438116657</v>
      </c>
      <c r="X59" s="37">
        <v>0.11829848139003912</v>
      </c>
      <c r="Y59" s="37">
        <v>-0.24549544811656124</v>
      </c>
      <c r="Z59" s="37">
        <v>0.23012747875716766</v>
      </c>
      <c r="AA59" s="37">
        <v>0.53120710552762473</v>
      </c>
      <c r="AB59" s="37">
        <v>0.5993439048056638</v>
      </c>
      <c r="AC59" s="37">
        <v>0.59268701771401977</v>
      </c>
      <c r="AD59" s="68">
        <v>-2.3406362686650421E-3</v>
      </c>
      <c r="AE59" s="68">
        <v>0.22252640940243371</v>
      </c>
      <c r="AF59" s="68">
        <v>0.8721148609009125</v>
      </c>
      <c r="AG59" s="68">
        <v>0.89887652853142708</v>
      </c>
      <c r="AH59" s="68">
        <v>0.84561031772208994</v>
      </c>
      <c r="AI59" s="68">
        <v>0.82603989644064213</v>
      </c>
      <c r="AJ59" s="68">
        <v>0.73580998268907494</v>
      </c>
      <c r="AK59" s="68">
        <v>0.77984090770939396</v>
      </c>
      <c r="AL59" s="68">
        <v>0.85336516800052487</v>
      </c>
      <c r="AM59" s="68">
        <v>0.88301814757639152</v>
      </c>
      <c r="AN59" s="68">
        <v>0.49495567729331619</v>
      </c>
      <c r="AO59" s="68">
        <v>0.86417550487252281</v>
      </c>
      <c r="AP59" s="68">
        <v>0.83773709823946008</v>
      </c>
      <c r="AQ59" s="68">
        <v>0.92675208499424766</v>
      </c>
      <c r="AR59" s="68">
        <v>0.85010545580421604</v>
      </c>
      <c r="AS59" s="68">
        <v>0.89342310575164008</v>
      </c>
      <c r="AT59" s="68">
        <v>0.85388001612184428</v>
      </c>
      <c r="AU59" s="68">
        <v>0.7695409294644574</v>
      </c>
      <c r="AV59" s="68">
        <v>0.82571813611539469</v>
      </c>
      <c r="AW59" s="68">
        <v>0.86140371054003007</v>
      </c>
      <c r="AX59" s="68">
        <v>0.90659987924354279</v>
      </c>
      <c r="AY59" s="68">
        <v>0.9232983491201594</v>
      </c>
      <c r="AZ59" s="68">
        <v>0.49599316392190929</v>
      </c>
      <c r="BA59" s="68">
        <v>0.85996965910397682</v>
      </c>
      <c r="BB59" s="68">
        <v>0.34920368216302838</v>
      </c>
      <c r="BC59" s="68">
        <v>0.3483744550884591</v>
      </c>
      <c r="BD59" s="68">
        <v>0.69151809983544532</v>
      </c>
      <c r="BE59" s="68">
        <v>0.59674076796206565</v>
      </c>
      <c r="BF59" s="68">
        <v>0.56306972437410407</v>
      </c>
      <c r="BG59" s="68">
        <v>0.55173136050590321</v>
      </c>
      <c r="BH59" s="68">
        <v>-9.3742109669493028E-3</v>
      </c>
      <c r="BI59" s="68">
        <v>0.86615392621620668</v>
      </c>
      <c r="BJ59" s="68">
        <v>0.93906617446737906</v>
      </c>
      <c r="BK59" s="68">
        <v>1</v>
      </c>
      <c r="BL59" s="68"/>
      <c r="BM59" s="68"/>
      <c r="BN59" s="68"/>
      <c r="BO59" s="68"/>
      <c r="BP59" s="68"/>
    </row>
    <row r="60" spans="2:68">
      <c r="B60" s="35" t="s">
        <v>21</v>
      </c>
      <c r="C60" s="35" t="s">
        <v>268</v>
      </c>
      <c r="E60" s="38">
        <v>3.7999999999999999E-2</v>
      </c>
      <c r="F60" s="38">
        <v>3.9868594462882934E-2</v>
      </c>
      <c r="G60" s="38">
        <v>6.2423436985287288E-2</v>
      </c>
      <c r="I60" s="69" t="s">
        <v>268</v>
      </c>
      <c r="J60" s="37">
        <v>0.22939834595900976</v>
      </c>
      <c r="K60" s="37">
        <v>-8.6992462176453123E-2</v>
      </c>
      <c r="L60" s="37">
        <v>-0.43061881276270175</v>
      </c>
      <c r="M60" s="37">
        <v>-0.38057906729057994</v>
      </c>
      <c r="N60" s="37">
        <v>0.2075609003789623</v>
      </c>
      <c r="O60" s="37">
        <v>1.9674541010107079E-2</v>
      </c>
      <c r="P60" s="37">
        <v>-3.0278280146810835E-2</v>
      </c>
      <c r="Q60" s="37">
        <v>-2.3488816887280869E-2</v>
      </c>
      <c r="R60" s="37">
        <v>1.2636315832724636E-3</v>
      </c>
      <c r="S60" s="37">
        <v>0.42435613834690428</v>
      </c>
      <c r="T60" s="37">
        <v>0.34283418868926491</v>
      </c>
      <c r="U60" s="37">
        <v>0.84310330096276287</v>
      </c>
      <c r="V60" s="37">
        <v>0.85388574883826895</v>
      </c>
      <c r="W60" s="37">
        <v>-0.32621348181187027</v>
      </c>
      <c r="X60" s="37">
        <v>1.4070770529134099E-2</v>
      </c>
      <c r="Y60" s="37">
        <v>-0.22083561476950153</v>
      </c>
      <c r="Z60" s="37">
        <v>0.11956776327960263</v>
      </c>
      <c r="AA60" s="37">
        <v>0.58537049287542242</v>
      </c>
      <c r="AB60" s="37">
        <v>0.54669332171232776</v>
      </c>
      <c r="AC60" s="37">
        <v>0.65501518191561237</v>
      </c>
      <c r="AD60" s="68">
        <v>0.1140811227540728</v>
      </c>
      <c r="AE60" s="68">
        <v>0.44913896252096541</v>
      </c>
      <c r="AF60" s="68">
        <v>0.71807992959653988</v>
      </c>
      <c r="AG60" s="68">
        <v>0.76101655985873362</v>
      </c>
      <c r="AH60" s="68">
        <v>0.68043854989429919</v>
      </c>
      <c r="AI60" s="68">
        <v>0.70637876755998397</v>
      </c>
      <c r="AJ60" s="68">
        <v>0.64967064667716334</v>
      </c>
      <c r="AK60" s="68">
        <v>0.6985330513391762</v>
      </c>
      <c r="AL60" s="68">
        <v>0.7784298607998783</v>
      </c>
      <c r="AM60" s="68">
        <v>0.77198534140388519</v>
      </c>
      <c r="AN60" s="68">
        <v>0.44990852307532753</v>
      </c>
      <c r="AO60" s="68">
        <v>0.76640338473698211</v>
      </c>
      <c r="AP60" s="68">
        <v>0.73170908422781555</v>
      </c>
      <c r="AQ60" s="68">
        <v>0.78824146550618857</v>
      </c>
      <c r="AR60" s="68">
        <v>0.71164100137301212</v>
      </c>
      <c r="AS60" s="68">
        <v>0.74995704328068535</v>
      </c>
      <c r="AT60" s="68">
        <v>0.69353308101818811</v>
      </c>
      <c r="AU60" s="68">
        <v>0.66072937514857644</v>
      </c>
      <c r="AV60" s="68">
        <v>0.71255923365986185</v>
      </c>
      <c r="AW60" s="68">
        <v>0.72539582469793218</v>
      </c>
      <c r="AX60" s="68">
        <v>0.81659830531105559</v>
      </c>
      <c r="AY60" s="68">
        <v>0.84543169955772823</v>
      </c>
      <c r="AZ60" s="68">
        <v>0.50533571457263693</v>
      </c>
      <c r="BA60" s="68">
        <v>0.81224730528178368</v>
      </c>
      <c r="BB60" s="68">
        <v>0.46194176373363061</v>
      </c>
      <c r="BC60" s="68">
        <v>0.46069609178342252</v>
      </c>
      <c r="BD60" s="68">
        <v>0.68817883221116305</v>
      </c>
      <c r="BE60" s="68">
        <v>0.6582429835968453</v>
      </c>
      <c r="BF60" s="68">
        <v>0.49730742808967837</v>
      </c>
      <c r="BG60" s="68">
        <v>0.53590629575547788</v>
      </c>
      <c r="BH60" s="68">
        <v>6.0136820738150687E-2</v>
      </c>
      <c r="BI60" s="68">
        <v>0.84512620655555482</v>
      </c>
      <c r="BJ60" s="68">
        <v>0.92719286223334563</v>
      </c>
      <c r="BK60" s="68">
        <v>0.87394363053104229</v>
      </c>
      <c r="BL60" s="68">
        <v>1.0000000000000002</v>
      </c>
      <c r="BM60" s="68"/>
      <c r="BN60" s="68"/>
      <c r="BO60" s="68"/>
      <c r="BP60" s="68"/>
    </row>
    <row r="61" spans="2:68">
      <c r="B61" s="35" t="s">
        <v>21</v>
      </c>
      <c r="C61" s="35" t="s">
        <v>269</v>
      </c>
      <c r="E61" s="38">
        <v>2.7000000000000003E-2</v>
      </c>
      <c r="F61" s="38">
        <v>2.9905260784079957E-2</v>
      </c>
      <c r="G61" s="38">
        <v>7.7522280205751373E-2</v>
      </c>
      <c r="I61" s="69" t="s">
        <v>269</v>
      </c>
      <c r="J61" s="37">
        <v>-5.7237571129500758E-2</v>
      </c>
      <c r="K61" s="37">
        <v>0.11109995980487257</v>
      </c>
      <c r="L61" s="37">
        <v>7.3179199202761447E-2</v>
      </c>
      <c r="M61" s="37">
        <v>7.1308780535075014E-2</v>
      </c>
      <c r="N61" s="37">
        <v>0.27059537049446569</v>
      </c>
      <c r="O61" s="37">
        <v>0.17078304014051546</v>
      </c>
      <c r="P61" s="37">
        <v>7.0625245128731709E-2</v>
      </c>
      <c r="Q61" s="37">
        <v>0.20389731919882137</v>
      </c>
      <c r="R61" s="37">
        <v>0.18177953098110289</v>
      </c>
      <c r="S61" s="37">
        <v>0.28310986086783607</v>
      </c>
      <c r="T61" s="37">
        <v>0.2671735169195284</v>
      </c>
      <c r="U61" s="37">
        <v>0.20740051224338873</v>
      </c>
      <c r="V61" s="37">
        <v>9.7060686744927016E-2</v>
      </c>
      <c r="W61" s="37">
        <v>0.11450263621028846</v>
      </c>
      <c r="X61" s="37">
        <v>0.30517226043809365</v>
      </c>
      <c r="Y61" s="37">
        <v>0.13720483696506203</v>
      </c>
      <c r="Z61" s="37">
        <v>0.32818063312268059</v>
      </c>
      <c r="AA61" s="37">
        <v>0.24892973469775997</v>
      </c>
      <c r="AB61" s="37">
        <v>0.29413902146510862</v>
      </c>
      <c r="AC61" s="37">
        <v>0.20594577274832926</v>
      </c>
      <c r="AD61" s="68">
        <v>0.11687594360430949</v>
      </c>
      <c r="AE61" s="68">
        <v>0.12823136018544892</v>
      </c>
      <c r="AF61" s="68">
        <v>0.28415262766190041</v>
      </c>
      <c r="AG61" s="68">
        <v>0.27528056532577883</v>
      </c>
      <c r="AH61" s="68">
        <v>0.18648496399077116</v>
      </c>
      <c r="AI61" s="68">
        <v>0.32327764522614233</v>
      </c>
      <c r="AJ61" s="68">
        <v>0.25576783919785617</v>
      </c>
      <c r="AK61" s="68">
        <v>0.29008784260519566</v>
      </c>
      <c r="AL61" s="68">
        <v>0.35035882224305642</v>
      </c>
      <c r="AM61" s="68">
        <v>0.35249499932817152</v>
      </c>
      <c r="AN61" s="68">
        <v>0.20147719269132883</v>
      </c>
      <c r="AO61" s="68">
        <v>0.3766575386036628</v>
      </c>
      <c r="AP61" s="68">
        <v>0.35297226108694807</v>
      </c>
      <c r="AQ61" s="68">
        <v>0.35181833993060457</v>
      </c>
      <c r="AR61" s="68">
        <v>0.22994113664775584</v>
      </c>
      <c r="AS61" s="68">
        <v>0.32156037643486424</v>
      </c>
      <c r="AT61" s="68">
        <v>0.28815494637912431</v>
      </c>
      <c r="AU61" s="68">
        <v>0.28000880882971224</v>
      </c>
      <c r="AV61" s="68">
        <v>0.26004434175819102</v>
      </c>
      <c r="AW61" s="68">
        <v>0.28481804162349761</v>
      </c>
      <c r="AX61" s="68">
        <v>0.32150447426809292</v>
      </c>
      <c r="AY61" s="68">
        <v>0.3492018888375456</v>
      </c>
      <c r="AZ61" s="68">
        <v>0.18543664096204462</v>
      </c>
      <c r="BA61" s="68">
        <v>0.32954559447393494</v>
      </c>
      <c r="BB61" s="68">
        <v>-5.9605362376907396E-2</v>
      </c>
      <c r="BC61" s="68">
        <v>-6.0091368156057097E-2</v>
      </c>
      <c r="BD61" s="68">
        <v>0.24933493074109103</v>
      </c>
      <c r="BE61" s="68">
        <v>0.11003806993031555</v>
      </c>
      <c r="BF61" s="68">
        <v>0.17450840829153957</v>
      </c>
      <c r="BG61" s="68">
        <v>0.13707187775223562</v>
      </c>
      <c r="BH61" s="68">
        <v>-0.11417537236016113</v>
      </c>
      <c r="BI61" s="68">
        <v>0.55335988120716251</v>
      </c>
      <c r="BJ61" s="68">
        <v>0.34556790615237504</v>
      </c>
      <c r="BK61" s="68">
        <v>0.4229343429932404</v>
      </c>
      <c r="BL61" s="68">
        <v>0.323205715424352</v>
      </c>
      <c r="BM61" s="68">
        <v>1</v>
      </c>
      <c r="BN61" s="68"/>
      <c r="BO61" s="68"/>
      <c r="BP61" s="68"/>
    </row>
    <row r="62" spans="2:68">
      <c r="B62" s="35" t="s">
        <v>21</v>
      </c>
      <c r="C62" s="35" t="s">
        <v>132</v>
      </c>
      <c r="E62" s="38">
        <v>6.9000000000000006E-2</v>
      </c>
      <c r="F62" s="38">
        <v>7.7068613152117438E-2</v>
      </c>
      <c r="G62" s="38">
        <v>0.13258271661821991</v>
      </c>
      <c r="I62" s="69" t="s">
        <v>132</v>
      </c>
      <c r="J62" s="37">
        <v>0.3076270470613382</v>
      </c>
      <c r="K62" s="37">
        <v>-0.14875153522311929</v>
      </c>
      <c r="L62" s="37">
        <v>-0.52493898468155997</v>
      </c>
      <c r="M62" s="37">
        <v>-0.51308072479988021</v>
      </c>
      <c r="N62" s="37">
        <v>0.13693280363667568</v>
      </c>
      <c r="O62" s="37">
        <v>-0.18696139303166814</v>
      </c>
      <c r="P62" s="37">
        <v>-0.14858319688087382</v>
      </c>
      <c r="Q62" s="37">
        <v>-0.22750150087614152</v>
      </c>
      <c r="R62" s="37">
        <v>-0.22322683789669362</v>
      </c>
      <c r="S62" s="37">
        <v>0.19669364389907421</v>
      </c>
      <c r="T62" s="37">
        <v>0.10096380050940278</v>
      </c>
      <c r="U62" s="37">
        <v>0.72397418918573408</v>
      </c>
      <c r="V62" s="37">
        <v>0.75069594538414341</v>
      </c>
      <c r="W62" s="37">
        <v>-0.43124523098695594</v>
      </c>
      <c r="X62" s="37">
        <v>-0.20058718985551471</v>
      </c>
      <c r="Y62" s="37">
        <v>-0.29689878940886555</v>
      </c>
      <c r="Z62" s="37">
        <v>-8.5360983360356912E-2</v>
      </c>
      <c r="AA62" s="37">
        <v>0.50250580991771987</v>
      </c>
      <c r="AB62" s="37">
        <v>0.40908207269502889</v>
      </c>
      <c r="AC62" s="37">
        <v>0.55504708365040556</v>
      </c>
      <c r="AD62" s="68">
        <v>4.1561542480329755E-2</v>
      </c>
      <c r="AE62" s="68">
        <v>0.38828368077457937</v>
      </c>
      <c r="AF62" s="68">
        <v>0.62996405447911474</v>
      </c>
      <c r="AG62" s="68">
        <v>0.68976074676395871</v>
      </c>
      <c r="AH62" s="68">
        <v>0.62500523916873241</v>
      </c>
      <c r="AI62" s="68">
        <v>0.54016260814940731</v>
      </c>
      <c r="AJ62" s="68">
        <v>0.43644295191934485</v>
      </c>
      <c r="AK62" s="68">
        <v>0.50174982335918161</v>
      </c>
      <c r="AL62" s="68">
        <v>0.61960291292440017</v>
      </c>
      <c r="AM62" s="68">
        <v>0.58734677402000623</v>
      </c>
      <c r="AN62" s="68">
        <v>0.28683685703096418</v>
      </c>
      <c r="AO62" s="68">
        <v>0.60042151656158904</v>
      </c>
      <c r="AP62" s="68">
        <v>0.54162160074892851</v>
      </c>
      <c r="AQ62" s="68">
        <v>0.64032261688279846</v>
      </c>
      <c r="AR62" s="68">
        <v>0.64521478773237573</v>
      </c>
      <c r="AS62" s="68">
        <v>0.66709854333282592</v>
      </c>
      <c r="AT62" s="68">
        <v>0.62767496682229129</v>
      </c>
      <c r="AU62" s="68">
        <v>0.60843556239448382</v>
      </c>
      <c r="AV62" s="68">
        <v>0.65188698817803015</v>
      </c>
      <c r="AW62" s="68">
        <v>0.67272565605788981</v>
      </c>
      <c r="AX62" s="68">
        <v>0.6689201786277984</v>
      </c>
      <c r="AY62" s="68">
        <v>0.67245003033251949</v>
      </c>
      <c r="AZ62" s="68">
        <v>0.36530223916900012</v>
      </c>
      <c r="BA62" s="68">
        <v>0.75288834934920801</v>
      </c>
      <c r="BB62" s="68">
        <v>0.46619267472763459</v>
      </c>
      <c r="BC62" s="68">
        <v>0.46454780449888194</v>
      </c>
      <c r="BD62" s="68">
        <v>0.61250155550082586</v>
      </c>
      <c r="BE62" s="68">
        <v>0.59726569073495339</v>
      </c>
      <c r="BF62" s="68">
        <v>0.42811827592883278</v>
      </c>
      <c r="BG62" s="68">
        <v>0.43862079521163483</v>
      </c>
      <c r="BH62" s="68">
        <v>0.10270110751156145</v>
      </c>
      <c r="BI62" s="68">
        <v>0.65223713554528284</v>
      </c>
      <c r="BJ62" s="68">
        <v>0.75563474500558436</v>
      </c>
      <c r="BK62" s="68">
        <v>0.70687004315455648</v>
      </c>
      <c r="BL62" s="68">
        <v>0.7930483384237631</v>
      </c>
      <c r="BM62" s="68">
        <v>9.8531120667322766E-2</v>
      </c>
      <c r="BN62" s="68">
        <v>1</v>
      </c>
      <c r="BO62" s="68"/>
      <c r="BP62" s="68"/>
    </row>
    <row r="63" spans="2:68">
      <c r="B63" s="35" t="s">
        <v>21</v>
      </c>
      <c r="C63" s="35" t="s">
        <v>270</v>
      </c>
      <c r="E63" s="38">
        <v>2.6000000000000002E-2</v>
      </c>
      <c r="F63" s="38">
        <v>3.8645710162164004E-2</v>
      </c>
      <c r="G63" s="38">
        <v>0.1635740669996438</v>
      </c>
      <c r="I63" s="69" t="s">
        <v>270</v>
      </c>
      <c r="J63" s="37">
        <v>0.29087620226433564</v>
      </c>
      <c r="K63" s="37">
        <v>3.4165513936849447E-2</v>
      </c>
      <c r="L63" s="37">
        <v>-0.21468408106228137</v>
      </c>
      <c r="M63" s="37">
        <v>-0.28540098746437503</v>
      </c>
      <c r="N63" s="37">
        <v>0.27451077296061516</v>
      </c>
      <c r="O63" s="37">
        <v>-2.0474314418896241E-2</v>
      </c>
      <c r="P63" s="37">
        <v>-6.4662150087752654E-2</v>
      </c>
      <c r="Q63" s="37">
        <v>3.3138372706286744E-2</v>
      </c>
      <c r="R63" s="37">
        <v>-4.923897607104348E-2</v>
      </c>
      <c r="S63" s="37">
        <v>0.24201099634797371</v>
      </c>
      <c r="T63" s="37">
        <v>0.17944083655132761</v>
      </c>
      <c r="U63" s="37">
        <v>0.48632649513863557</v>
      </c>
      <c r="V63" s="37">
        <v>0.4279976813419652</v>
      </c>
      <c r="W63" s="37">
        <v>-0.29759199357056504</v>
      </c>
      <c r="X63" s="37">
        <v>0.25353919258362523</v>
      </c>
      <c r="Y63" s="37">
        <v>-0.26223511352418044</v>
      </c>
      <c r="Z63" s="37">
        <v>0.34301611811240468</v>
      </c>
      <c r="AA63" s="37">
        <v>0.42074131146757754</v>
      </c>
      <c r="AB63" s="37">
        <v>0.5193034095246607</v>
      </c>
      <c r="AC63" s="37">
        <v>0.45007653077529675</v>
      </c>
      <c r="AD63" s="68">
        <v>-4.7281153996411682E-2</v>
      </c>
      <c r="AE63" s="68">
        <v>0.21952764007549957</v>
      </c>
      <c r="AF63" s="68">
        <v>0.48119542639177831</v>
      </c>
      <c r="AG63" s="68">
        <v>0.49963071655764169</v>
      </c>
      <c r="AH63" s="68">
        <v>0.43045997339172587</v>
      </c>
      <c r="AI63" s="68">
        <v>0.50811167353154396</v>
      </c>
      <c r="AJ63" s="68">
        <v>0.39272256412642531</v>
      </c>
      <c r="AK63" s="68">
        <v>0.48693227932965766</v>
      </c>
      <c r="AL63" s="68">
        <v>0.61247587378076584</v>
      </c>
      <c r="AM63" s="68">
        <v>0.56058872549197125</v>
      </c>
      <c r="AN63" s="68">
        <v>0.24949555104850782</v>
      </c>
      <c r="AO63" s="68">
        <v>0.61980008425120459</v>
      </c>
      <c r="AP63" s="68">
        <v>0.54693460739949407</v>
      </c>
      <c r="AQ63" s="68">
        <v>0.56741899804662033</v>
      </c>
      <c r="AR63" s="68">
        <v>0.44708078442980131</v>
      </c>
      <c r="AS63" s="68">
        <v>0.50858760314252582</v>
      </c>
      <c r="AT63" s="68">
        <v>0.46283196535185256</v>
      </c>
      <c r="AU63" s="68">
        <v>0.4067218408035953</v>
      </c>
      <c r="AV63" s="68">
        <v>0.45812017731204907</v>
      </c>
      <c r="AW63" s="68">
        <v>0.46391876265657289</v>
      </c>
      <c r="AX63" s="68">
        <v>0.52018238085371316</v>
      </c>
      <c r="AY63" s="68">
        <v>0.50231426443239724</v>
      </c>
      <c r="AZ63" s="68">
        <v>0.35486879375199099</v>
      </c>
      <c r="BA63" s="68">
        <v>0.62810935213641728</v>
      </c>
      <c r="BB63" s="68">
        <v>0.3608015812811875</v>
      </c>
      <c r="BC63" s="68">
        <v>0.35987803439574684</v>
      </c>
      <c r="BD63" s="68">
        <v>0.64516384375499713</v>
      </c>
      <c r="BE63" s="68">
        <v>0.5595393649819147</v>
      </c>
      <c r="BF63" s="68">
        <v>0.30926631277804822</v>
      </c>
      <c r="BG63" s="68">
        <v>0.50386056108884247</v>
      </c>
      <c r="BH63" s="68">
        <v>0.11787853313180956</v>
      </c>
      <c r="BI63" s="68">
        <v>0.58038078465248177</v>
      </c>
      <c r="BJ63" s="68">
        <v>0.60502467120094838</v>
      </c>
      <c r="BK63" s="68">
        <v>0.6235360994393806</v>
      </c>
      <c r="BL63" s="68">
        <v>0.59289194053182326</v>
      </c>
      <c r="BM63" s="68">
        <v>0.41973239349455727</v>
      </c>
      <c r="BN63" s="68">
        <v>0.54931780257031704</v>
      </c>
      <c r="BO63" s="68">
        <v>1</v>
      </c>
      <c r="BP63" s="68"/>
    </row>
    <row r="64" spans="2:68">
      <c r="B64" s="35" t="s">
        <v>21</v>
      </c>
      <c r="C64" s="35" t="s">
        <v>271</v>
      </c>
      <c r="E64" s="38">
        <v>0.03</v>
      </c>
      <c r="F64" s="38">
        <v>4.4074616443699144E-2</v>
      </c>
      <c r="G64" s="38">
        <v>0.17319078673485103</v>
      </c>
      <c r="I64" s="69" t="s">
        <v>271</v>
      </c>
      <c r="J64" s="37">
        <v>3.0211882829759445E-3</v>
      </c>
      <c r="K64" s="37">
        <v>8.4387721944869404E-2</v>
      </c>
      <c r="L64" s="37">
        <v>0.36144526730915089</v>
      </c>
      <c r="M64" s="37">
        <v>0.27346119034012423</v>
      </c>
      <c r="N64" s="37">
        <v>0.48937899796899537</v>
      </c>
      <c r="O64" s="37">
        <v>0.4053868489514163</v>
      </c>
      <c r="P64" s="37">
        <v>0.36559447373968429</v>
      </c>
      <c r="Q64" s="37">
        <v>0.39253937215986123</v>
      </c>
      <c r="R64" s="37">
        <v>0.3193240718884115</v>
      </c>
      <c r="S64" s="37">
        <v>0.3667945334168175</v>
      </c>
      <c r="T64" s="37">
        <v>0.30667982392907117</v>
      </c>
      <c r="U64" s="37">
        <v>0.11440594342127364</v>
      </c>
      <c r="V64" s="37">
        <v>-5.8417000754309174E-2</v>
      </c>
      <c r="W64" s="37">
        <v>0.27072991986846029</v>
      </c>
      <c r="X64" s="37">
        <v>0.53414418283220011</v>
      </c>
      <c r="Y64" s="37">
        <v>0.21257796574320523</v>
      </c>
      <c r="Z64" s="37">
        <v>0.52772742978981224</v>
      </c>
      <c r="AA64" s="37">
        <v>0.34722262114372138</v>
      </c>
      <c r="AB64" s="37">
        <v>0.38934381076912361</v>
      </c>
      <c r="AC64" s="37">
        <v>0.3139674663402629</v>
      </c>
      <c r="AD64" s="68">
        <v>0.22455005969559111</v>
      </c>
      <c r="AE64" s="68">
        <v>9.1579252473249814E-2</v>
      </c>
      <c r="AF64" s="68">
        <v>-9.8479584457175761E-3</v>
      </c>
      <c r="AG64" s="68">
        <v>-7.1652516782993932E-5</v>
      </c>
      <c r="AH64" s="68">
        <v>-5.5010258940448413E-2</v>
      </c>
      <c r="AI64" s="68">
        <v>6.1535613773070374E-2</v>
      </c>
      <c r="AJ64" s="68">
        <v>-2.1116381495077049E-2</v>
      </c>
      <c r="AK64" s="68">
        <v>0.18225230272297349</v>
      </c>
      <c r="AL64" s="68">
        <v>9.0958534939463681E-2</v>
      </c>
      <c r="AM64" s="68">
        <v>7.8646739112635963E-2</v>
      </c>
      <c r="AN64" s="68">
        <v>0.16357875781397743</v>
      </c>
      <c r="AO64" s="68">
        <v>0.22002746226100867</v>
      </c>
      <c r="AP64" s="68">
        <v>0.1831599909433369</v>
      </c>
      <c r="AQ64" s="68">
        <v>7.1426407982324955E-2</v>
      </c>
      <c r="AR64" s="68">
        <v>-4.0564393274606467E-2</v>
      </c>
      <c r="AS64" s="68">
        <v>2.9311590071182388E-2</v>
      </c>
      <c r="AT64" s="68">
        <v>1.1625961916425044E-2</v>
      </c>
      <c r="AU64" s="68">
        <v>3.9600377448236371E-2</v>
      </c>
      <c r="AV64" s="68">
        <v>1.5529844940329902E-2</v>
      </c>
      <c r="AW64" s="68">
        <v>1.0082742094965432E-2</v>
      </c>
      <c r="AX64" s="68">
        <v>9.2642166151876884E-2</v>
      </c>
      <c r="AY64" s="68">
        <v>8.8631847267972685E-2</v>
      </c>
      <c r="AZ64" s="68">
        <v>4.2906726710679466E-3</v>
      </c>
      <c r="BA64" s="68">
        <v>8.3278342786607132E-2</v>
      </c>
      <c r="BB64" s="68">
        <v>-6.9391975455689356E-2</v>
      </c>
      <c r="BC64" s="68">
        <v>-6.8788179980584202E-2</v>
      </c>
      <c r="BD64" s="68">
        <v>4.1985100490632456E-2</v>
      </c>
      <c r="BE64" s="68">
        <v>0.1633572530056206</v>
      </c>
      <c r="BF64" s="68">
        <v>5.3677936788277709E-2</v>
      </c>
      <c r="BG64" s="68">
        <v>0.16856435389159602</v>
      </c>
      <c r="BH64" s="68">
        <v>-0.10494048032448564</v>
      </c>
      <c r="BI64" s="68">
        <v>0.10581009796098217</v>
      </c>
      <c r="BJ64" s="68">
        <v>3.9847756068160121E-2</v>
      </c>
      <c r="BK64" s="68">
        <v>0.11910713392192462</v>
      </c>
      <c r="BL64" s="68">
        <v>7.4802179468739488E-2</v>
      </c>
      <c r="BM64" s="68">
        <v>0.40407374066153051</v>
      </c>
      <c r="BN64" s="68">
        <v>3.7746197913955233E-2</v>
      </c>
      <c r="BO64" s="68">
        <v>0.38008851520429759</v>
      </c>
      <c r="BP64" s="68">
        <v>1</v>
      </c>
    </row>
  </sheetData>
  <mergeCells count="1">
    <mergeCell ref="B2:BP3"/>
  </mergeCell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9F706-AB1C-4BDD-B026-B0C03ECE1D24}">
  <sheetPr codeName="Sheet7">
    <tabColor theme="8" tint="0.39997558519241921"/>
  </sheetPr>
  <dimension ref="A1:AU43"/>
  <sheetViews>
    <sheetView showGridLines="0" zoomScale="130" zoomScaleNormal="130" workbookViewId="0">
      <selection activeCell="E4" sqref="E4:F4"/>
    </sheetView>
  </sheetViews>
  <sheetFormatPr baseColWidth="10" defaultColWidth="0" defaultRowHeight="15"/>
  <cols>
    <col min="1" max="1" width="1.83203125" customWidth="1"/>
    <col min="2" max="2" width="13" style="35" customWidth="1"/>
    <col min="3" max="3" width="32.5" style="35" customWidth="1"/>
    <col min="4" max="4" width="46.83203125" style="35" customWidth="1"/>
    <col min="5" max="5" width="9.6640625" style="35" customWidth="1"/>
    <col min="6" max="6" width="9" style="35" customWidth="1"/>
    <col min="7" max="7" width="9.1640625" style="35" customWidth="1"/>
    <col min="8" max="8" width="3.33203125" style="35" customWidth="1"/>
    <col min="9" max="9" width="34.1640625" style="35" customWidth="1"/>
    <col min="10" max="47" width="4.5" style="35" customWidth="1"/>
    <col min="48" max="16384" width="8.83203125" style="35" hidden="1"/>
  </cols>
  <sheetData>
    <row r="1" spans="1:47" customFormat="1"/>
    <row r="2" spans="1:47" customFormat="1" ht="14.75" customHeight="1">
      <c r="B2" s="610" t="s">
        <v>272</v>
      </c>
      <c r="C2" s="610"/>
      <c r="D2" s="610"/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  <c r="R2" s="610"/>
      <c r="S2" s="610"/>
      <c r="T2" s="610"/>
      <c r="U2" s="610"/>
      <c r="V2" s="610"/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0"/>
      <c r="AJ2" s="610"/>
      <c r="AK2" s="610"/>
      <c r="AL2" s="610"/>
      <c r="AM2" s="610"/>
      <c r="AN2" s="610"/>
      <c r="AO2" s="610"/>
      <c r="AP2" s="610"/>
      <c r="AQ2" s="610"/>
      <c r="AR2" s="610"/>
      <c r="AS2" s="610"/>
      <c r="AT2" s="610"/>
      <c r="AU2" s="610"/>
    </row>
    <row r="3" spans="1:47" customFormat="1" ht="14.75" customHeight="1"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  <c r="R3" s="610"/>
      <c r="S3" s="610"/>
      <c r="T3" s="610"/>
      <c r="U3" s="610"/>
      <c r="V3" s="610"/>
      <c r="W3" s="610"/>
      <c r="X3" s="610"/>
      <c r="Y3" s="610"/>
      <c r="Z3" s="610"/>
      <c r="AA3" s="610"/>
      <c r="AB3" s="610"/>
      <c r="AC3" s="610"/>
      <c r="AD3" s="610"/>
      <c r="AE3" s="610"/>
      <c r="AF3" s="610"/>
      <c r="AG3" s="610"/>
      <c r="AH3" s="610"/>
      <c r="AI3" s="610"/>
      <c r="AJ3" s="610"/>
      <c r="AK3" s="610"/>
      <c r="AL3" s="610"/>
      <c r="AM3" s="610"/>
      <c r="AN3" s="610"/>
      <c r="AO3" s="610"/>
      <c r="AP3" s="610"/>
      <c r="AQ3" s="610"/>
      <c r="AR3" s="610"/>
      <c r="AS3" s="610"/>
      <c r="AT3" s="610"/>
      <c r="AU3" s="610"/>
    </row>
    <row r="4" spans="1:47" customFormat="1" ht="12.5" customHeight="1">
      <c r="E4" s="106" t="s">
        <v>141</v>
      </c>
      <c r="F4" s="106" t="s">
        <v>142</v>
      </c>
      <c r="J4" s="612" t="s">
        <v>108</v>
      </c>
      <c r="K4" s="613"/>
      <c r="L4" s="613"/>
      <c r="M4" s="613"/>
      <c r="N4" s="613"/>
      <c r="O4" s="612" t="s">
        <v>273</v>
      </c>
      <c r="P4" s="613"/>
      <c r="Q4" s="613"/>
      <c r="R4" s="612" t="s">
        <v>274</v>
      </c>
      <c r="S4" s="613"/>
      <c r="T4" s="613"/>
      <c r="U4" s="612" t="s">
        <v>275</v>
      </c>
      <c r="V4" s="613"/>
      <c r="W4" s="613"/>
      <c r="X4" s="612" t="s">
        <v>276</v>
      </c>
      <c r="Y4" s="613"/>
      <c r="Z4" s="613"/>
      <c r="AA4" s="613"/>
      <c r="AB4" s="612" t="s">
        <v>277</v>
      </c>
      <c r="AC4" s="616"/>
      <c r="AD4" s="617" t="s">
        <v>278</v>
      </c>
      <c r="AE4" s="617"/>
      <c r="AF4" s="618"/>
      <c r="AG4" s="612" t="s">
        <v>279</v>
      </c>
      <c r="AH4" s="613"/>
      <c r="AI4" s="613"/>
      <c r="AJ4" s="613"/>
      <c r="AK4" s="613"/>
      <c r="AL4" s="613"/>
      <c r="AM4" s="612" t="s">
        <v>280</v>
      </c>
      <c r="AN4" s="613"/>
      <c r="AO4" s="613"/>
      <c r="AP4" s="614" t="s">
        <v>278</v>
      </c>
      <c r="AQ4" s="615"/>
      <c r="AR4" s="615"/>
      <c r="AS4" s="615"/>
      <c r="AT4" s="615"/>
      <c r="AU4" s="615"/>
    </row>
    <row r="5" spans="1:47" s="45" customFormat="1" ht="68" customHeight="1">
      <c r="A5"/>
      <c r="B5" s="39" t="s">
        <v>54</v>
      </c>
      <c r="C5" s="39" t="s">
        <v>143</v>
      </c>
      <c r="D5" s="39" t="s">
        <v>144</v>
      </c>
      <c r="E5" s="40" t="s">
        <v>145</v>
      </c>
      <c r="F5" s="40" t="s">
        <v>33</v>
      </c>
      <c r="G5" s="40" t="s">
        <v>34</v>
      </c>
      <c r="H5" s="36"/>
      <c r="I5" s="34" t="s">
        <v>146</v>
      </c>
      <c r="J5" s="71" t="s">
        <v>281</v>
      </c>
      <c r="K5" s="71" t="s">
        <v>282</v>
      </c>
      <c r="L5" s="71" t="s">
        <v>120</v>
      </c>
      <c r="M5" s="71" t="s">
        <v>125</v>
      </c>
      <c r="N5" s="71" t="s">
        <v>283</v>
      </c>
      <c r="O5" s="71" t="s">
        <v>284</v>
      </c>
      <c r="P5" s="71" t="s">
        <v>285</v>
      </c>
      <c r="Q5" s="71" t="s">
        <v>286</v>
      </c>
      <c r="R5" s="71" t="s">
        <v>287</v>
      </c>
      <c r="S5" s="71" t="s">
        <v>288</v>
      </c>
      <c r="T5" s="71" t="s">
        <v>289</v>
      </c>
      <c r="U5" s="71" t="s">
        <v>290</v>
      </c>
      <c r="V5" s="71" t="s">
        <v>291</v>
      </c>
      <c r="W5" s="71" t="s">
        <v>292</v>
      </c>
      <c r="X5" s="71" t="s">
        <v>293</v>
      </c>
      <c r="Y5" s="71" t="s">
        <v>294</v>
      </c>
      <c r="Z5" s="71" t="s">
        <v>295</v>
      </c>
      <c r="AA5" s="71" t="s">
        <v>296</v>
      </c>
      <c r="AB5" s="71" t="s">
        <v>297</v>
      </c>
      <c r="AC5" s="71" t="s">
        <v>298</v>
      </c>
      <c r="AD5" s="71" t="s">
        <v>299</v>
      </c>
      <c r="AE5" s="71" t="s">
        <v>300</v>
      </c>
      <c r="AF5" s="71" t="s">
        <v>301</v>
      </c>
      <c r="AG5" s="71" t="s">
        <v>108</v>
      </c>
      <c r="AH5" s="71" t="s">
        <v>273</v>
      </c>
      <c r="AI5" s="71" t="s">
        <v>274</v>
      </c>
      <c r="AJ5" s="71" t="s">
        <v>302</v>
      </c>
      <c r="AK5" s="71" t="s">
        <v>276</v>
      </c>
      <c r="AL5" s="71" t="s">
        <v>303</v>
      </c>
      <c r="AM5" s="71" t="s">
        <v>279</v>
      </c>
      <c r="AN5" s="71" t="s">
        <v>115</v>
      </c>
      <c r="AO5" s="71" t="s">
        <v>304</v>
      </c>
      <c r="AP5" s="71" t="s">
        <v>305</v>
      </c>
      <c r="AQ5" s="71" t="s">
        <v>306</v>
      </c>
      <c r="AR5" s="71" t="s">
        <v>307</v>
      </c>
      <c r="AS5" s="71" t="s">
        <v>22</v>
      </c>
      <c r="AT5" s="71" t="s">
        <v>23</v>
      </c>
      <c r="AU5" s="71" t="s">
        <v>139</v>
      </c>
    </row>
    <row r="6" spans="1:47" ht="14" customHeight="1">
      <c r="A6" s="619" t="s">
        <v>108</v>
      </c>
      <c r="B6" s="35" t="s">
        <v>17</v>
      </c>
      <c r="C6" s="35" t="s">
        <v>281</v>
      </c>
      <c r="D6" s="35" t="s">
        <v>308</v>
      </c>
      <c r="E6" s="38">
        <v>3.0000000000000001E-3</v>
      </c>
      <c r="F6" s="38">
        <v>3.0093934640049252E-3</v>
      </c>
      <c r="G6" s="38">
        <v>4.3343890007532266E-3</v>
      </c>
      <c r="I6" s="69" t="s">
        <v>281</v>
      </c>
      <c r="J6" s="37">
        <v>1</v>
      </c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</row>
    <row r="7" spans="1:47" ht="14">
      <c r="A7" s="623"/>
      <c r="B7" s="35" t="s">
        <v>17</v>
      </c>
      <c r="C7" s="35" t="s">
        <v>282</v>
      </c>
      <c r="D7" s="35" t="s">
        <v>309</v>
      </c>
      <c r="E7" s="38">
        <v>2.2000000000000002E-2</v>
      </c>
      <c r="F7" s="38">
        <v>2.3659117015850235E-2</v>
      </c>
      <c r="G7" s="38">
        <v>5.760411471154181E-2</v>
      </c>
      <c r="I7" s="69" t="s">
        <v>282</v>
      </c>
      <c r="J7" s="37">
        <v>1.7722558812066531E-2</v>
      </c>
      <c r="K7" s="37">
        <v>1</v>
      </c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</row>
    <row r="8" spans="1:47" ht="14">
      <c r="A8" s="623"/>
      <c r="B8" s="35" t="s">
        <v>17</v>
      </c>
      <c r="C8" s="35" t="s">
        <v>120</v>
      </c>
      <c r="D8" s="35" t="s">
        <v>310</v>
      </c>
      <c r="E8" s="38">
        <v>2.4E-2</v>
      </c>
      <c r="F8" s="38">
        <v>2.4579110264237869E-2</v>
      </c>
      <c r="G8" s="38">
        <v>3.4032639164128062E-2</v>
      </c>
      <c r="I8" s="69" t="s">
        <v>120</v>
      </c>
      <c r="J8" s="37">
        <v>5.7067276131757112E-2</v>
      </c>
      <c r="K8" s="37">
        <v>0.78860283811263066</v>
      </c>
      <c r="L8" s="37">
        <v>1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</row>
    <row r="9" spans="1:47" ht="14">
      <c r="A9" s="623"/>
      <c r="B9" s="35" t="s">
        <v>17</v>
      </c>
      <c r="C9" s="35" t="s">
        <v>125</v>
      </c>
      <c r="D9" s="35" t="s">
        <v>311</v>
      </c>
      <c r="E9" s="38">
        <v>3.5000000000000003E-2</v>
      </c>
      <c r="F9" s="38">
        <v>3.9140864359966492E-2</v>
      </c>
      <c r="G9" s="38">
        <v>9.100400386759358E-2</v>
      </c>
      <c r="I9" s="69" t="s">
        <v>125</v>
      </c>
      <c r="J9" s="37">
        <v>-0.10473585077239661</v>
      </c>
      <c r="K9" s="37">
        <v>0.36394598030774866</v>
      </c>
      <c r="L9" s="37">
        <v>0.23352285316209564</v>
      </c>
      <c r="M9" s="37">
        <v>1</v>
      </c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68"/>
      <c r="AE9" s="68"/>
      <c r="AF9" s="68"/>
      <c r="AG9" s="68"/>
      <c r="AH9" s="68"/>
      <c r="AI9" s="68"/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</row>
    <row r="10" spans="1:47" ht="14">
      <c r="A10" s="620"/>
      <c r="B10" s="35" t="s">
        <v>17</v>
      </c>
      <c r="C10" s="35" t="s">
        <v>283</v>
      </c>
      <c r="D10" s="35" t="s">
        <v>312</v>
      </c>
      <c r="E10" s="38">
        <v>1.6E-2</v>
      </c>
      <c r="F10" s="38">
        <v>1.6435859884041875E-2</v>
      </c>
      <c r="G10" s="38">
        <v>2.9525374385077255E-2</v>
      </c>
      <c r="I10" s="69" t="s">
        <v>283</v>
      </c>
      <c r="J10" s="37">
        <v>1.1184445170138411E-2</v>
      </c>
      <c r="K10" s="37">
        <v>0.58837055495910828</v>
      </c>
      <c r="L10" s="37">
        <v>0.71667305119383373</v>
      </c>
      <c r="M10" s="37">
        <v>0.27666175534102705</v>
      </c>
      <c r="N10" s="37">
        <v>1</v>
      </c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68"/>
      <c r="AE10" s="68"/>
      <c r="AF10" s="68"/>
      <c r="AG10" s="68"/>
      <c r="AH10" s="68"/>
      <c r="AI10" s="68"/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</row>
    <row r="11" spans="1:47" ht="14" customHeight="1">
      <c r="A11" s="619" t="s">
        <v>273</v>
      </c>
      <c r="B11" s="35" t="s">
        <v>17</v>
      </c>
      <c r="C11" s="35" t="s">
        <v>284</v>
      </c>
      <c r="D11" s="35" t="s">
        <v>313</v>
      </c>
      <c r="E11" s="38">
        <v>-4.0000000000000001E-3</v>
      </c>
      <c r="F11" s="38">
        <v>6.2346115225405947E-4</v>
      </c>
      <c r="G11" s="38">
        <v>9.6160918800249198E-2</v>
      </c>
      <c r="I11" s="69" t="s">
        <v>284</v>
      </c>
      <c r="J11" s="37">
        <v>9.059747035176248E-2</v>
      </c>
      <c r="K11" s="37">
        <v>0.36514730447378713</v>
      </c>
      <c r="L11" s="37">
        <v>0.24089511203103459</v>
      </c>
      <c r="M11" s="37">
        <v>0.38380938776769069</v>
      </c>
      <c r="N11" s="37">
        <v>0.12023408438541854</v>
      </c>
      <c r="O11" s="37">
        <v>1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</row>
    <row r="12" spans="1:47" ht="14">
      <c r="A12" s="623"/>
      <c r="B12" s="35" t="s">
        <v>17</v>
      </c>
      <c r="C12" s="35" t="s">
        <v>285</v>
      </c>
      <c r="D12" s="35" t="s">
        <v>314</v>
      </c>
      <c r="E12" s="38">
        <v>0.01</v>
      </c>
      <c r="F12" s="38">
        <v>1.6927314434493513E-2</v>
      </c>
      <c r="G12" s="38">
        <v>0.11770568749634416</v>
      </c>
      <c r="I12" s="69" t="s">
        <v>285</v>
      </c>
      <c r="J12" s="37">
        <v>3.6906323298232152E-2</v>
      </c>
      <c r="K12" s="37">
        <v>0.53974893920650124</v>
      </c>
      <c r="L12" s="37">
        <v>0.42875868722705229</v>
      </c>
      <c r="M12" s="37">
        <v>0.49352114729214813</v>
      </c>
      <c r="N12" s="37">
        <v>0.29706243486820272</v>
      </c>
      <c r="O12" s="37">
        <v>0.90343560301738335</v>
      </c>
      <c r="P12" s="37">
        <v>1</v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</row>
    <row r="13" spans="1:47" ht="14">
      <c r="A13" s="620"/>
      <c r="B13" s="35" t="s">
        <v>17</v>
      </c>
      <c r="C13" s="35" t="s">
        <v>286</v>
      </c>
      <c r="D13" s="35" t="s">
        <v>315</v>
      </c>
      <c r="E13" s="38">
        <v>0.01</v>
      </c>
      <c r="F13" s="38">
        <v>1.5138843281069417E-2</v>
      </c>
      <c r="G13" s="38">
        <v>0.10137892563121211</v>
      </c>
      <c r="I13" s="69" t="s">
        <v>286</v>
      </c>
      <c r="J13" s="37">
        <v>3.7399555589256929E-2</v>
      </c>
      <c r="K13" s="37">
        <v>0.49573193539851979</v>
      </c>
      <c r="L13" s="37">
        <v>0.44569608507114239</v>
      </c>
      <c r="M13" s="37">
        <v>0.41504810732910163</v>
      </c>
      <c r="N13" s="37">
        <v>0.29464380573480209</v>
      </c>
      <c r="O13" s="37">
        <v>0.94278266752166706</v>
      </c>
      <c r="P13" s="37">
        <v>0.96620000878146239</v>
      </c>
      <c r="Q13" s="37">
        <v>1</v>
      </c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</row>
    <row r="14" spans="1:47" ht="14" customHeight="1">
      <c r="A14" s="619" t="s">
        <v>274</v>
      </c>
      <c r="B14" s="35" t="s">
        <v>17</v>
      </c>
      <c r="C14" s="35" t="s">
        <v>287</v>
      </c>
      <c r="D14" s="35" t="s">
        <v>316</v>
      </c>
      <c r="E14" s="38">
        <v>-1E-3</v>
      </c>
      <c r="F14" s="38">
        <v>3.0507089085994089E-3</v>
      </c>
      <c r="G14" s="38">
        <v>9.0007876417560362E-2</v>
      </c>
      <c r="I14" s="69" t="s">
        <v>287</v>
      </c>
      <c r="J14" s="37">
        <v>4.4596594508221538E-2</v>
      </c>
      <c r="K14" s="37">
        <v>0.36501925049939754</v>
      </c>
      <c r="L14" s="37">
        <v>0.43088951519219854</v>
      </c>
      <c r="M14" s="37">
        <v>-5.8855002750048672E-2</v>
      </c>
      <c r="N14" s="37">
        <v>0.36669636369398279</v>
      </c>
      <c r="O14" s="37">
        <v>0.2276649837998248</v>
      </c>
      <c r="P14" s="37">
        <v>0.23349102513147432</v>
      </c>
      <c r="Q14" s="37">
        <v>0.28039072736168957</v>
      </c>
      <c r="R14" s="37">
        <v>1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</row>
    <row r="15" spans="1:47" ht="14">
      <c r="A15" s="623"/>
      <c r="B15" s="35" t="s">
        <v>17</v>
      </c>
      <c r="C15" s="35" t="s">
        <v>288</v>
      </c>
      <c r="D15" s="35" t="s">
        <v>317</v>
      </c>
      <c r="E15" s="38">
        <v>2E-3</v>
      </c>
      <c r="F15" s="38">
        <v>6.7762937548218483E-3</v>
      </c>
      <c r="G15" s="38">
        <v>9.7737339382877084E-2</v>
      </c>
      <c r="I15" s="69" t="s">
        <v>288</v>
      </c>
      <c r="J15" s="37">
        <v>-1.4555308718864656E-3</v>
      </c>
      <c r="K15" s="37">
        <v>0.54970798235091745</v>
      </c>
      <c r="L15" s="37">
        <v>0.53121883959307159</v>
      </c>
      <c r="M15" s="37">
        <v>0.175633954856348</v>
      </c>
      <c r="N15" s="37">
        <v>0.43744993140778776</v>
      </c>
      <c r="O15" s="37">
        <v>0.32407580401027047</v>
      </c>
      <c r="P15" s="37">
        <v>0.38477126591232313</v>
      </c>
      <c r="Q15" s="37">
        <v>0.39244282762651744</v>
      </c>
      <c r="R15" s="37">
        <v>0.89913928767447249</v>
      </c>
      <c r="S15" s="37">
        <v>1</v>
      </c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</row>
    <row r="16" spans="1:47" ht="14">
      <c r="A16" s="620"/>
      <c r="B16" s="35" t="s">
        <v>17</v>
      </c>
      <c r="C16" s="35" t="s">
        <v>289</v>
      </c>
      <c r="D16" s="35" t="s">
        <v>318</v>
      </c>
      <c r="E16" s="38">
        <v>2E-3</v>
      </c>
      <c r="F16" s="38">
        <v>6.7631011206842583E-3</v>
      </c>
      <c r="G16" s="38">
        <v>9.7602265554486575E-2</v>
      </c>
      <c r="I16" s="69" t="s">
        <v>289</v>
      </c>
      <c r="J16" s="37">
        <v>3.6464578861268623E-2</v>
      </c>
      <c r="K16" s="37">
        <v>0.40439534587904463</v>
      </c>
      <c r="L16" s="37">
        <v>0.48896257127098802</v>
      </c>
      <c r="M16" s="37">
        <v>-5.5931743511819572E-2</v>
      </c>
      <c r="N16" s="37">
        <v>0.40522826681842622</v>
      </c>
      <c r="O16" s="37">
        <v>0.22522447198026088</v>
      </c>
      <c r="P16" s="37">
        <v>0.25459355146728951</v>
      </c>
      <c r="Q16" s="37">
        <v>0.30235018269221736</v>
      </c>
      <c r="R16" s="37">
        <v>0.98146037335093972</v>
      </c>
      <c r="S16" s="37">
        <v>0.90537358365082499</v>
      </c>
      <c r="T16" s="37">
        <v>1</v>
      </c>
      <c r="U16" s="37"/>
      <c r="V16" s="37"/>
      <c r="W16" s="37"/>
      <c r="X16" s="37"/>
      <c r="Y16" s="37"/>
      <c r="Z16" s="37"/>
      <c r="AA16" s="37"/>
      <c r="AB16" s="37"/>
      <c r="AC16" s="37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</row>
    <row r="17" spans="1:47" ht="14" customHeight="1">
      <c r="A17" s="619" t="s">
        <v>275</v>
      </c>
      <c r="B17" s="35" t="s">
        <v>17</v>
      </c>
      <c r="C17" s="35" t="s">
        <v>290</v>
      </c>
      <c r="D17" s="35" t="s">
        <v>319</v>
      </c>
      <c r="E17" s="38">
        <v>2E-3</v>
      </c>
      <c r="F17" s="38">
        <v>6.0023571453421453E-3</v>
      </c>
      <c r="G17" s="38">
        <v>8.9469068904757754E-2</v>
      </c>
      <c r="I17" s="69" t="s">
        <v>290</v>
      </c>
      <c r="J17" s="37">
        <v>7.5603094913462218E-2</v>
      </c>
      <c r="K17" s="37">
        <v>0.21835521346390804</v>
      </c>
      <c r="L17" s="37">
        <v>1.6857335040279992E-2</v>
      </c>
      <c r="M17" s="37">
        <v>0.42795829825828252</v>
      </c>
      <c r="N17" s="37">
        <v>-1.0816938961888799E-2</v>
      </c>
      <c r="O17" s="37">
        <v>0.6208278475683755</v>
      </c>
      <c r="P17" s="37">
        <v>0.55432365509998327</v>
      </c>
      <c r="Q17" s="37">
        <v>0.56461590087325741</v>
      </c>
      <c r="R17" s="37">
        <v>2.4376795262450318E-2</v>
      </c>
      <c r="S17" s="37">
        <v>0.10564770428276885</v>
      </c>
      <c r="T17" s="37">
        <v>-2.9313004439647803E-3</v>
      </c>
      <c r="U17" s="37">
        <v>1</v>
      </c>
      <c r="V17" s="37"/>
      <c r="W17" s="37"/>
      <c r="X17" s="37"/>
      <c r="Y17" s="37"/>
      <c r="Z17" s="37"/>
      <c r="AA17" s="37"/>
      <c r="AB17" s="37"/>
      <c r="AC17" s="37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</row>
    <row r="18" spans="1:47" ht="14">
      <c r="A18" s="623"/>
      <c r="B18" s="35" t="s">
        <v>17</v>
      </c>
      <c r="C18" s="35" t="s">
        <v>291</v>
      </c>
      <c r="D18" s="35" t="s">
        <v>320</v>
      </c>
      <c r="E18" s="38">
        <v>0.01</v>
      </c>
      <c r="F18" s="38">
        <v>1.5889301356796538E-2</v>
      </c>
      <c r="G18" s="38">
        <v>0.10852927122943871</v>
      </c>
      <c r="I18" s="69" t="s">
        <v>291</v>
      </c>
      <c r="J18" s="37">
        <v>1.184273153910107E-2</v>
      </c>
      <c r="K18" s="37">
        <v>0.59090764239992466</v>
      </c>
      <c r="L18" s="37">
        <v>0.4514652912793875</v>
      </c>
      <c r="M18" s="37">
        <v>0.53001369775510165</v>
      </c>
      <c r="N18" s="37">
        <v>0.3153248142126539</v>
      </c>
      <c r="O18" s="37">
        <v>0.53388159201993868</v>
      </c>
      <c r="P18" s="37">
        <v>0.62325177084489836</v>
      </c>
      <c r="Q18" s="37">
        <v>0.60658439769302175</v>
      </c>
      <c r="R18" s="37">
        <v>0.16289400881493668</v>
      </c>
      <c r="S18" s="37">
        <v>0.32479481198372162</v>
      </c>
      <c r="T18" s="37">
        <v>0.19030410972519923</v>
      </c>
      <c r="U18" s="37">
        <v>0.63564559256719633</v>
      </c>
      <c r="V18" s="37">
        <v>1</v>
      </c>
      <c r="W18" s="37"/>
      <c r="X18" s="37"/>
      <c r="Y18" s="37"/>
      <c r="Z18" s="37"/>
      <c r="AA18" s="37"/>
      <c r="AB18" s="37"/>
      <c r="AC18" s="37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</row>
    <row r="19" spans="1:47" ht="14">
      <c r="A19" s="620"/>
      <c r="B19" s="35" t="s">
        <v>17</v>
      </c>
      <c r="C19" s="35" t="s">
        <v>292</v>
      </c>
      <c r="D19" s="35" t="s">
        <v>321</v>
      </c>
      <c r="E19" s="38">
        <v>1.4999999999999999E-2</v>
      </c>
      <c r="F19" s="38">
        <v>1.9452154367752321E-2</v>
      </c>
      <c r="G19" s="38">
        <v>9.436264480982208E-2</v>
      </c>
      <c r="I19" s="69" t="s">
        <v>292</v>
      </c>
      <c r="J19" s="37">
        <v>8.9151075446122358E-3</v>
      </c>
      <c r="K19" s="37">
        <v>0.49723075662633365</v>
      </c>
      <c r="L19" s="37">
        <v>0.42267172117022145</v>
      </c>
      <c r="M19" s="37">
        <v>0.44575647270850044</v>
      </c>
      <c r="N19" s="37">
        <v>0.24939474920251506</v>
      </c>
      <c r="O19" s="37">
        <v>0.57282396858002882</v>
      </c>
      <c r="P19" s="37">
        <v>0.63041314093477241</v>
      </c>
      <c r="Q19" s="37">
        <v>0.64963914398909717</v>
      </c>
      <c r="R19" s="37">
        <v>0.16697374599537543</v>
      </c>
      <c r="S19" s="37">
        <v>0.27066698019654367</v>
      </c>
      <c r="T19" s="37">
        <v>0.18255962624116792</v>
      </c>
      <c r="U19" s="37">
        <v>0.81748123232015413</v>
      </c>
      <c r="V19" s="37">
        <v>0.85661095918928687</v>
      </c>
      <c r="W19" s="37">
        <v>1</v>
      </c>
      <c r="X19" s="37"/>
      <c r="Y19" s="37"/>
      <c r="Z19" s="37"/>
      <c r="AA19" s="37"/>
      <c r="AB19" s="37"/>
      <c r="AC19" s="37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</row>
    <row r="20" spans="1:47" ht="14" customHeight="1">
      <c r="A20" s="619" t="s">
        <v>276</v>
      </c>
      <c r="B20" s="35" t="s">
        <v>17</v>
      </c>
      <c r="C20" s="35" t="s">
        <v>293</v>
      </c>
      <c r="D20" s="35" t="s">
        <v>322</v>
      </c>
      <c r="E20" s="38">
        <v>2E-3</v>
      </c>
      <c r="F20" s="38">
        <v>6.2921685966838507E-3</v>
      </c>
      <c r="G20" s="38">
        <v>9.2651698275680303E-2</v>
      </c>
      <c r="I20" s="69" t="s">
        <v>293</v>
      </c>
      <c r="J20" s="37">
        <v>9.2717434473306784E-2</v>
      </c>
      <c r="K20" s="37">
        <v>0.27811522811087819</v>
      </c>
      <c r="L20" s="37">
        <v>0.10267915522966388</v>
      </c>
      <c r="M20" s="37">
        <v>0.59162217220085667</v>
      </c>
      <c r="N20" s="37">
        <v>7.5316831697574332E-2</v>
      </c>
      <c r="O20" s="37">
        <v>0.55841481040117813</v>
      </c>
      <c r="P20" s="37">
        <v>0.56617891014214605</v>
      </c>
      <c r="Q20" s="37">
        <v>0.52751525518712028</v>
      </c>
      <c r="R20" s="37">
        <v>4.7533261073563496E-2</v>
      </c>
      <c r="S20" s="37">
        <v>0.162473073894461</v>
      </c>
      <c r="T20" s="37">
        <v>2.7271694607498401E-2</v>
      </c>
      <c r="U20" s="37">
        <v>0.53553864184578648</v>
      </c>
      <c r="V20" s="37">
        <v>0.40585463551338818</v>
      </c>
      <c r="W20" s="37">
        <v>0.44065156587401361</v>
      </c>
      <c r="X20" s="37">
        <v>1</v>
      </c>
      <c r="Y20" s="37"/>
      <c r="Z20" s="37"/>
      <c r="AA20" s="37"/>
      <c r="AB20" s="37"/>
      <c r="AC20" s="37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</row>
    <row r="21" spans="1:47" ht="14">
      <c r="A21" s="623"/>
      <c r="B21" s="35" t="s">
        <v>17</v>
      </c>
      <c r="C21" s="35" t="s">
        <v>294</v>
      </c>
      <c r="D21" s="35" t="s">
        <v>323</v>
      </c>
      <c r="E21" s="38">
        <v>0.02</v>
      </c>
      <c r="F21" s="38">
        <v>2.7620727728931569E-2</v>
      </c>
      <c r="G21" s="38">
        <v>0.12345628966505975</v>
      </c>
      <c r="I21" s="69" t="s">
        <v>294</v>
      </c>
      <c r="J21" s="37">
        <v>1.712890973484987E-2</v>
      </c>
      <c r="K21" s="37">
        <v>0.6376854055029193</v>
      </c>
      <c r="L21" s="37">
        <v>0.43102686976438914</v>
      </c>
      <c r="M21" s="37">
        <v>0.65053789445656496</v>
      </c>
      <c r="N21" s="37">
        <v>0.29587776253064141</v>
      </c>
      <c r="O21" s="37">
        <v>0.52476443141727036</v>
      </c>
      <c r="P21" s="37">
        <v>0.64587983265930127</v>
      </c>
      <c r="Q21" s="37">
        <v>0.58478615738196371</v>
      </c>
      <c r="R21" s="37">
        <v>0.1589714903522268</v>
      </c>
      <c r="S21" s="37">
        <v>0.35173371221278815</v>
      </c>
      <c r="T21" s="37">
        <v>0.17368466885411482</v>
      </c>
      <c r="U21" s="37">
        <v>0.42259693293024891</v>
      </c>
      <c r="V21" s="37">
        <v>0.60038124467216358</v>
      </c>
      <c r="W21" s="37">
        <v>0.55049033695783256</v>
      </c>
      <c r="X21" s="37">
        <v>0.77459922103151224</v>
      </c>
      <c r="Y21" s="37">
        <v>1</v>
      </c>
      <c r="Z21" s="37"/>
      <c r="AA21" s="37"/>
      <c r="AB21" s="37"/>
      <c r="AC21" s="37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</row>
    <row r="22" spans="1:47" ht="14">
      <c r="A22" s="623"/>
      <c r="B22" s="35" t="s">
        <v>17</v>
      </c>
      <c r="C22" s="35" t="s">
        <v>295</v>
      </c>
      <c r="D22" s="35" t="s">
        <v>324</v>
      </c>
      <c r="E22" s="38">
        <v>2.4E-2</v>
      </c>
      <c r="F22" s="38">
        <v>2.8530732007579118E-2</v>
      </c>
      <c r="G22" s="38">
        <v>9.5191722408822094E-2</v>
      </c>
      <c r="I22" s="69" t="s">
        <v>295</v>
      </c>
      <c r="J22" s="37">
        <v>6.3195526225785156E-2</v>
      </c>
      <c r="K22" s="37">
        <v>0.51362646300366988</v>
      </c>
      <c r="L22" s="37">
        <v>0.41181827987502007</v>
      </c>
      <c r="M22" s="37">
        <v>0.64090431328356767</v>
      </c>
      <c r="N22" s="37">
        <v>0.29470372142370155</v>
      </c>
      <c r="O22" s="37">
        <v>0.56771210202635403</v>
      </c>
      <c r="P22" s="37">
        <v>0.65332289157106804</v>
      </c>
      <c r="Q22" s="37">
        <v>0.62406827659868747</v>
      </c>
      <c r="R22" s="37">
        <v>0.17471498317042586</v>
      </c>
      <c r="S22" s="37">
        <v>0.31511826650882985</v>
      </c>
      <c r="T22" s="37">
        <v>0.18147577960026576</v>
      </c>
      <c r="U22" s="37">
        <v>0.4847401788016012</v>
      </c>
      <c r="V22" s="37">
        <v>0.5447078701854553</v>
      </c>
      <c r="W22" s="37">
        <v>0.56420066535850621</v>
      </c>
      <c r="X22" s="37">
        <v>0.92134365546540509</v>
      </c>
      <c r="Y22" s="37">
        <v>0.88962149956732806</v>
      </c>
      <c r="Z22" s="37">
        <v>1</v>
      </c>
      <c r="AA22" s="37"/>
      <c r="AB22" s="37"/>
      <c r="AC22" s="37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</row>
    <row r="23" spans="1:47" ht="14">
      <c r="A23" s="620"/>
      <c r="B23" s="35" t="s">
        <v>17</v>
      </c>
      <c r="C23" s="35" t="s">
        <v>296</v>
      </c>
      <c r="D23" s="35" t="s">
        <v>325</v>
      </c>
      <c r="E23" s="38">
        <v>3.7999999999999999E-2</v>
      </c>
      <c r="F23" s="38">
        <v>4.5772507061314999E-2</v>
      </c>
      <c r="G23" s="38">
        <v>0.12467964598373707</v>
      </c>
      <c r="I23" s="69" t="s">
        <v>296</v>
      </c>
      <c r="J23" s="37">
        <v>3.6421687681845783E-3</v>
      </c>
      <c r="K23" s="37">
        <v>0.30266015834183768</v>
      </c>
      <c r="L23" s="37">
        <v>0.19270019102030067</v>
      </c>
      <c r="M23" s="37">
        <v>0.65234826201476559</v>
      </c>
      <c r="N23" s="37">
        <v>8.6396476477773446E-2</v>
      </c>
      <c r="O23" s="37">
        <v>0.55125141555158441</v>
      </c>
      <c r="P23" s="37">
        <v>0.60069368334258522</v>
      </c>
      <c r="Q23" s="37">
        <v>0.56516421109861426</v>
      </c>
      <c r="R23" s="37">
        <v>2.5600356467177877E-2</v>
      </c>
      <c r="S23" s="37">
        <v>0.14710889539974259</v>
      </c>
      <c r="T23" s="37">
        <v>1.9309119530506801E-2</v>
      </c>
      <c r="U23" s="37">
        <v>0.52516509709009007</v>
      </c>
      <c r="V23" s="37">
        <v>0.47458976137503733</v>
      </c>
      <c r="W23" s="37">
        <v>0.52446953645677807</v>
      </c>
      <c r="X23" s="37">
        <v>0.87601361742889572</v>
      </c>
      <c r="Y23" s="37">
        <v>0.76403810754505874</v>
      </c>
      <c r="Z23" s="37">
        <v>0.874088655511288</v>
      </c>
      <c r="AA23" s="37">
        <v>1</v>
      </c>
      <c r="AB23" s="37"/>
      <c r="AC23" s="37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</row>
    <row r="24" spans="1:47" ht="14" customHeight="1">
      <c r="A24" s="619" t="s">
        <v>277</v>
      </c>
      <c r="B24" s="35" t="s">
        <v>17</v>
      </c>
      <c r="C24" s="35" t="s">
        <v>297</v>
      </c>
      <c r="D24" s="35" t="s">
        <v>326</v>
      </c>
      <c r="E24" s="38">
        <v>3.0000000000000001E-3</v>
      </c>
      <c r="F24" s="38">
        <v>1.0885969743155588E-2</v>
      </c>
      <c r="G24" s="38">
        <v>0.12558638256718432</v>
      </c>
      <c r="I24" s="69" t="s">
        <v>297</v>
      </c>
      <c r="J24" s="37">
        <v>2.4967120099089586E-2</v>
      </c>
      <c r="K24" s="37">
        <v>0.43622802752738715</v>
      </c>
      <c r="L24" s="37">
        <v>0.24996085144324609</v>
      </c>
      <c r="M24" s="37">
        <v>0.58964685070987799</v>
      </c>
      <c r="N24" s="37">
        <v>0.12273980512018788</v>
      </c>
      <c r="O24" s="37">
        <v>0.70947365105633975</v>
      </c>
      <c r="P24" s="37">
        <v>0.69767588169837835</v>
      </c>
      <c r="Q24" s="37">
        <v>0.68455563698769628</v>
      </c>
      <c r="R24" s="37">
        <v>0.12679554633075449</v>
      </c>
      <c r="S24" s="37">
        <v>0.2700573115815158</v>
      </c>
      <c r="T24" s="37">
        <v>0.11849364049384029</v>
      </c>
      <c r="U24" s="37">
        <v>0.57096654891725274</v>
      </c>
      <c r="V24" s="37">
        <v>0.53664528665149225</v>
      </c>
      <c r="W24" s="37">
        <v>0.56349650782077865</v>
      </c>
      <c r="X24" s="37">
        <v>0.73096459158541893</v>
      </c>
      <c r="Y24" s="37">
        <v>0.73749498348712894</v>
      </c>
      <c r="Z24" s="37">
        <v>0.75342332456254557</v>
      </c>
      <c r="AA24" s="37">
        <v>0.74369975617409756</v>
      </c>
      <c r="AB24" s="37">
        <v>1</v>
      </c>
      <c r="AC24" s="37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</row>
    <row r="25" spans="1:47" ht="14">
      <c r="A25" s="620"/>
      <c r="B25" s="35" t="s">
        <v>17</v>
      </c>
      <c r="C25" s="35" t="s">
        <v>298</v>
      </c>
      <c r="D25" s="35" t="s">
        <v>327</v>
      </c>
      <c r="E25" s="38">
        <v>1.4999999999999999E-2</v>
      </c>
      <c r="F25" s="38">
        <v>2.2008574851843946E-2</v>
      </c>
      <c r="G25" s="38">
        <v>0.11839404420699502</v>
      </c>
      <c r="I25" s="69" t="s">
        <v>298</v>
      </c>
      <c r="J25" s="37">
        <v>1.5042036100474219E-2</v>
      </c>
      <c r="K25" s="37">
        <v>0.58356756555823541</v>
      </c>
      <c r="L25" s="37">
        <v>0.45106535958232141</v>
      </c>
      <c r="M25" s="37">
        <v>0.55511222674573291</v>
      </c>
      <c r="N25" s="37">
        <v>0.28842530804377209</v>
      </c>
      <c r="O25" s="37">
        <v>0.70472995877092404</v>
      </c>
      <c r="P25" s="37">
        <v>0.7386839998554825</v>
      </c>
      <c r="Q25" s="37">
        <v>0.73766867565469807</v>
      </c>
      <c r="R25" s="37">
        <v>0.26145528689884379</v>
      </c>
      <c r="S25" s="37">
        <v>0.40809515434069238</v>
      </c>
      <c r="T25" s="37">
        <v>0.2700927209017791</v>
      </c>
      <c r="U25" s="37">
        <v>0.50583304841850096</v>
      </c>
      <c r="V25" s="37">
        <v>0.60365770923783713</v>
      </c>
      <c r="W25" s="37">
        <v>0.61682014063230006</v>
      </c>
      <c r="X25" s="37">
        <v>0.67550642167228014</v>
      </c>
      <c r="Y25" s="37">
        <v>0.76384722487281009</v>
      </c>
      <c r="Z25" s="37">
        <v>0.7785680698740286</v>
      </c>
      <c r="AA25" s="37">
        <v>0.69861492197474329</v>
      </c>
      <c r="AB25" s="37">
        <v>0.95228161813267087</v>
      </c>
      <c r="AC25" s="37">
        <v>1</v>
      </c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  <c r="AP25" s="68"/>
      <c r="AQ25" s="68"/>
      <c r="AR25" s="68"/>
      <c r="AS25" s="68"/>
      <c r="AT25" s="68"/>
      <c r="AU25" s="68"/>
    </row>
    <row r="26" spans="1:47" ht="14" customHeight="1">
      <c r="A26" s="619" t="s">
        <v>278</v>
      </c>
      <c r="B26" s="35" t="s">
        <v>17</v>
      </c>
      <c r="C26" s="35" t="s">
        <v>299</v>
      </c>
      <c r="D26" s="35" t="s">
        <v>328</v>
      </c>
      <c r="E26" s="38">
        <v>1.4999999999999999E-2</v>
      </c>
      <c r="F26" s="38">
        <v>1.7881376391359848E-2</v>
      </c>
      <c r="G26" s="38">
        <v>7.5912797226289144E-2</v>
      </c>
      <c r="I26" s="69" t="s">
        <v>299</v>
      </c>
      <c r="J26" s="37">
        <v>2.5882748491884273E-2</v>
      </c>
      <c r="K26" s="37">
        <v>0.80676589970893897</v>
      </c>
      <c r="L26" s="37">
        <v>0.64044254947313317</v>
      </c>
      <c r="M26" s="37">
        <v>0.55287288983518379</v>
      </c>
      <c r="N26" s="37">
        <v>0.46022532395877358</v>
      </c>
      <c r="O26" s="37">
        <v>0.73076838198367466</v>
      </c>
      <c r="P26" s="37">
        <v>0.86430825149081847</v>
      </c>
      <c r="Q26" s="37">
        <v>0.83201396236244618</v>
      </c>
      <c r="R26" s="37">
        <v>0.31783151496798828</v>
      </c>
      <c r="S26" s="37">
        <v>0.51113014561659798</v>
      </c>
      <c r="T26" s="37">
        <v>0.34971532206454892</v>
      </c>
      <c r="U26" s="37">
        <v>0.55751690803891585</v>
      </c>
      <c r="V26" s="37">
        <v>0.86828183193604191</v>
      </c>
      <c r="W26" s="37">
        <v>0.77899046253252668</v>
      </c>
      <c r="X26" s="37">
        <v>0.51649672837335414</v>
      </c>
      <c r="Y26" s="37">
        <v>0.75502646169126786</v>
      </c>
      <c r="Z26" s="37">
        <v>0.69304641658998756</v>
      </c>
      <c r="AA26" s="37">
        <v>0.56392520383497824</v>
      </c>
      <c r="AB26" s="37">
        <v>0.67738177797968169</v>
      </c>
      <c r="AC26" s="37">
        <v>0.77531621609124202</v>
      </c>
      <c r="AD26" s="68">
        <v>1</v>
      </c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</row>
    <row r="27" spans="1:47" ht="14">
      <c r="A27" s="621"/>
      <c r="B27" s="35" t="s">
        <v>17</v>
      </c>
      <c r="C27" s="35" t="s">
        <v>300</v>
      </c>
      <c r="D27" s="35" t="s">
        <v>329</v>
      </c>
      <c r="E27" s="38">
        <v>1.6E-2</v>
      </c>
      <c r="F27" s="38">
        <v>1.7527499734559995E-2</v>
      </c>
      <c r="G27" s="38">
        <v>5.5272049619314728E-2</v>
      </c>
      <c r="I27" s="69" t="s">
        <v>300</v>
      </c>
      <c r="J27" s="37">
        <v>5.4449736188450726E-2</v>
      </c>
      <c r="K27" s="37">
        <v>0.70380578178757669</v>
      </c>
      <c r="L27" s="37">
        <v>0.73410315582716812</v>
      </c>
      <c r="M27" s="37">
        <v>0.37501202224829489</v>
      </c>
      <c r="N27" s="37">
        <v>0.52451105261928543</v>
      </c>
      <c r="O27" s="37">
        <v>0.75647422989261981</v>
      </c>
      <c r="P27" s="37">
        <v>0.84003948669984052</v>
      </c>
      <c r="Q27" s="37">
        <v>0.87540837489582335</v>
      </c>
      <c r="R27" s="37">
        <v>0.61211986093586834</v>
      </c>
      <c r="S27" s="37">
        <v>0.70445584247333559</v>
      </c>
      <c r="T27" s="37">
        <v>0.64583377376302387</v>
      </c>
      <c r="U27" s="37">
        <v>0.434147894863607</v>
      </c>
      <c r="V27" s="37">
        <v>0.6462548396490122</v>
      </c>
      <c r="W27" s="37">
        <v>0.67165098886238106</v>
      </c>
      <c r="X27" s="37">
        <v>0.44219610582413515</v>
      </c>
      <c r="Y27" s="37">
        <v>0.6205230906107948</v>
      </c>
      <c r="Z27" s="37">
        <v>0.64311599711784828</v>
      </c>
      <c r="AA27" s="37">
        <v>0.49176707932065411</v>
      </c>
      <c r="AB27" s="37">
        <v>0.61416903043294391</v>
      </c>
      <c r="AC27" s="37">
        <v>0.75113248217790696</v>
      </c>
      <c r="AD27" s="68">
        <v>0.87493236337358171</v>
      </c>
      <c r="AE27" s="68">
        <v>1</v>
      </c>
      <c r="AF27" s="68"/>
      <c r="AG27" s="68"/>
      <c r="AH27" s="68"/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8"/>
      <c r="AT27" s="68"/>
      <c r="AU27" s="68"/>
    </row>
    <row r="28" spans="1:47" ht="14">
      <c r="A28" s="622"/>
      <c r="B28" s="35" t="s">
        <v>17</v>
      </c>
      <c r="C28" s="35" t="s">
        <v>301</v>
      </c>
      <c r="D28" s="35" t="s">
        <v>330</v>
      </c>
      <c r="E28" s="38">
        <v>0.04</v>
      </c>
      <c r="F28" s="38">
        <v>4.4883536775548398E-2</v>
      </c>
      <c r="G28" s="38">
        <v>9.8828505761732466E-2</v>
      </c>
      <c r="I28" s="69" t="s">
        <v>301</v>
      </c>
      <c r="J28" s="37">
        <v>-8.9352093882220845E-2</v>
      </c>
      <c r="K28" s="37">
        <v>0.42317982597634735</v>
      </c>
      <c r="L28" s="37">
        <v>0.27962169045529911</v>
      </c>
      <c r="M28" s="37">
        <v>0.97057394730186519</v>
      </c>
      <c r="N28" s="37">
        <v>0.30502966774071949</v>
      </c>
      <c r="O28" s="37">
        <v>0.52546060712664444</v>
      </c>
      <c r="P28" s="37">
        <v>0.62954269458189693</v>
      </c>
      <c r="Q28" s="37">
        <v>0.56190708185797367</v>
      </c>
      <c r="R28" s="37">
        <v>-2.1062734877661589E-2</v>
      </c>
      <c r="S28" s="37">
        <v>0.21488427505915583</v>
      </c>
      <c r="T28" s="37">
        <v>-1.8644210112211988E-2</v>
      </c>
      <c r="U28" s="37">
        <v>0.51070151259551155</v>
      </c>
      <c r="V28" s="37">
        <v>0.58894588399523584</v>
      </c>
      <c r="W28" s="37">
        <v>0.52906251894584755</v>
      </c>
      <c r="X28" s="37">
        <v>0.65992533912770412</v>
      </c>
      <c r="Y28" s="37">
        <v>0.7054884599344885</v>
      </c>
      <c r="Z28" s="37">
        <v>0.71453153261221658</v>
      </c>
      <c r="AA28" s="37">
        <v>0.72115751966134012</v>
      </c>
      <c r="AB28" s="37">
        <v>0.68108885484578241</v>
      </c>
      <c r="AC28" s="37">
        <v>0.65047317237479862</v>
      </c>
      <c r="AD28" s="68">
        <v>0.65445360424885834</v>
      </c>
      <c r="AE28" s="68">
        <v>0.49298645992372242</v>
      </c>
      <c r="AF28" s="68">
        <v>1</v>
      </c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68"/>
    </row>
    <row r="29" spans="1:47" ht="14" customHeight="1">
      <c r="A29" s="619" t="s">
        <v>279</v>
      </c>
      <c r="B29" s="35" t="s">
        <v>13</v>
      </c>
      <c r="C29" s="35" t="s">
        <v>108</v>
      </c>
      <c r="D29" s="35" t="s">
        <v>331</v>
      </c>
      <c r="E29" s="38">
        <v>4.2999999999999997E-2</v>
      </c>
      <c r="F29" s="38">
        <v>5.3962962337023176E-2</v>
      </c>
      <c r="G29" s="38">
        <v>0.14807405131908277</v>
      </c>
      <c r="I29" s="69" t="s">
        <v>108</v>
      </c>
      <c r="J29" s="37">
        <v>-7.6870700531384326E-2</v>
      </c>
      <c r="K29" s="37">
        <v>0.14579818529421776</v>
      </c>
      <c r="L29" s="37">
        <v>-6.1198832185581885E-3</v>
      </c>
      <c r="M29" s="37">
        <v>0.72302019237901605</v>
      </c>
      <c r="N29" s="37">
        <v>1.3374941295305122E-2</v>
      </c>
      <c r="O29" s="37">
        <v>0.39091629197908595</v>
      </c>
      <c r="P29" s="37">
        <v>0.43176152689334157</v>
      </c>
      <c r="Q29" s="37">
        <v>0.37978977667645258</v>
      </c>
      <c r="R29" s="37">
        <v>-0.19555106316838958</v>
      </c>
      <c r="S29" s="37">
        <v>-1.870563463512084E-2</v>
      </c>
      <c r="T29" s="37">
        <v>-0.20515009450821906</v>
      </c>
      <c r="U29" s="37">
        <v>0.41437231853846712</v>
      </c>
      <c r="V29" s="37">
        <v>0.35801159375730429</v>
      </c>
      <c r="W29" s="37">
        <v>0.3680605669722169</v>
      </c>
      <c r="X29" s="37">
        <v>0.59380405068095521</v>
      </c>
      <c r="Y29" s="37">
        <v>0.55848814416768977</v>
      </c>
      <c r="Z29" s="37">
        <v>0.58855972164142623</v>
      </c>
      <c r="AA29" s="37">
        <v>0.64844840938483572</v>
      </c>
      <c r="AB29" s="37">
        <v>0.58949671632067335</v>
      </c>
      <c r="AC29" s="37">
        <v>0.52502641255693749</v>
      </c>
      <c r="AD29" s="68">
        <v>0.39694652373719164</v>
      </c>
      <c r="AE29" s="68">
        <v>0.23977860168258242</v>
      </c>
      <c r="AF29" s="68">
        <v>0.72941138517988946</v>
      </c>
      <c r="AG29" s="68">
        <v>1</v>
      </c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</row>
    <row r="30" spans="1:47" ht="14">
      <c r="A30" s="623"/>
      <c r="B30" s="35" t="s">
        <v>13</v>
      </c>
      <c r="C30" s="35" t="s">
        <v>273</v>
      </c>
      <c r="D30" s="35" t="s">
        <v>332</v>
      </c>
      <c r="E30" s="38">
        <v>4.7E-2</v>
      </c>
      <c r="F30" s="38">
        <v>6.5993223321497055E-2</v>
      </c>
      <c r="G30" s="38">
        <v>0.19490112016864888</v>
      </c>
      <c r="I30" s="69" t="s">
        <v>273</v>
      </c>
      <c r="J30" s="37">
        <v>8.6294558313244323E-3</v>
      </c>
      <c r="K30" s="37">
        <v>0.18312803786636575</v>
      </c>
      <c r="L30" s="37">
        <v>6.7409963339583046E-2</v>
      </c>
      <c r="M30" s="37">
        <v>0.7185053159927639</v>
      </c>
      <c r="N30" s="37">
        <v>5.6142748526511466E-2</v>
      </c>
      <c r="O30" s="37">
        <v>0.61717129026481188</v>
      </c>
      <c r="P30" s="37">
        <v>0.63216706130933098</v>
      </c>
      <c r="Q30" s="37">
        <v>0.59601121648877231</v>
      </c>
      <c r="R30" s="37">
        <v>-0.11387898945761027</v>
      </c>
      <c r="S30" s="37">
        <v>5.7992679305466095E-2</v>
      </c>
      <c r="T30" s="37">
        <v>-0.12499875268718495</v>
      </c>
      <c r="U30" s="37">
        <v>0.53387228755341276</v>
      </c>
      <c r="V30" s="37">
        <v>0.45815472226324294</v>
      </c>
      <c r="W30" s="37">
        <v>0.48583182856347651</v>
      </c>
      <c r="X30" s="37">
        <v>0.61934414024983142</v>
      </c>
      <c r="Y30" s="37">
        <v>0.58728743528771743</v>
      </c>
      <c r="Z30" s="37">
        <v>0.62442642394878023</v>
      </c>
      <c r="AA30" s="37">
        <v>0.67480928181233435</v>
      </c>
      <c r="AB30" s="37">
        <v>0.67227015393262446</v>
      </c>
      <c r="AC30" s="37">
        <v>0.60767676898282741</v>
      </c>
      <c r="AD30" s="68">
        <v>0.535097743768569</v>
      </c>
      <c r="AE30" s="68">
        <v>0.41594976001403788</v>
      </c>
      <c r="AF30" s="68">
        <v>0.77697349475473754</v>
      </c>
      <c r="AG30" s="68">
        <v>0.86533947536046285</v>
      </c>
      <c r="AH30" s="68">
        <v>1</v>
      </c>
      <c r="AI30" s="68"/>
      <c r="AJ30" s="68"/>
      <c r="AK30" s="68"/>
      <c r="AL30" s="68"/>
      <c r="AM30" s="68"/>
      <c r="AN30" s="68"/>
      <c r="AO30" s="68"/>
      <c r="AP30" s="68"/>
      <c r="AQ30" s="68"/>
      <c r="AR30" s="68"/>
      <c r="AS30" s="68"/>
      <c r="AT30" s="68"/>
      <c r="AU30" s="68"/>
    </row>
    <row r="31" spans="1:47" ht="14">
      <c r="A31" s="623"/>
      <c r="B31" s="35" t="s">
        <v>13</v>
      </c>
      <c r="C31" s="35" t="s">
        <v>274</v>
      </c>
      <c r="D31" s="35" t="s">
        <v>333</v>
      </c>
      <c r="E31" s="38">
        <v>4.0999999999999995E-2</v>
      </c>
      <c r="F31" s="38">
        <v>5.2261062516422679E-2</v>
      </c>
      <c r="G31" s="38">
        <v>0.15007373198813093</v>
      </c>
      <c r="I31" s="69" t="s">
        <v>274</v>
      </c>
      <c r="J31" s="37">
        <v>-6.2043371456901947E-2</v>
      </c>
      <c r="K31" s="37">
        <v>0.18552992217280745</v>
      </c>
      <c r="L31" s="37">
        <v>6.2489756876884898E-2</v>
      </c>
      <c r="M31" s="37">
        <v>0.53255953243997223</v>
      </c>
      <c r="N31" s="37">
        <v>1.8133386667640996E-2</v>
      </c>
      <c r="O31" s="37">
        <v>0.33013233107777495</v>
      </c>
      <c r="P31" s="37">
        <v>0.39705652663014568</v>
      </c>
      <c r="Q31" s="37">
        <v>0.33252903309025394</v>
      </c>
      <c r="R31" s="37">
        <v>-5.7931224137169153E-3</v>
      </c>
      <c r="S31" s="37">
        <v>0.12044361420098147</v>
      </c>
      <c r="T31" s="37">
        <v>-5.2343018524855969E-2</v>
      </c>
      <c r="U31" s="37">
        <v>0.37005687607203835</v>
      </c>
      <c r="V31" s="37">
        <v>0.3350054205561751</v>
      </c>
      <c r="W31" s="37">
        <v>0.33143530449150743</v>
      </c>
      <c r="X31" s="37">
        <v>0.47377267816312585</v>
      </c>
      <c r="Y31" s="37">
        <v>0.47202882806716062</v>
      </c>
      <c r="Z31" s="37">
        <v>0.48693211275317316</v>
      </c>
      <c r="AA31" s="37">
        <v>0.50805538300103759</v>
      </c>
      <c r="AB31" s="37">
        <v>0.50696025157981106</v>
      </c>
      <c r="AC31" s="37">
        <v>0.46103423743485983</v>
      </c>
      <c r="AD31" s="68">
        <v>0.37933457617490213</v>
      </c>
      <c r="AE31" s="68">
        <v>0.26958948779061409</v>
      </c>
      <c r="AF31" s="68">
        <v>0.5655061388466821</v>
      </c>
      <c r="AG31" s="68">
        <v>0.65685760199609677</v>
      </c>
      <c r="AH31" s="68">
        <v>0.6696133190451744</v>
      </c>
      <c r="AI31" s="68">
        <v>1</v>
      </c>
      <c r="AJ31" s="68"/>
      <c r="AK31" s="68"/>
      <c r="AL31" s="68"/>
      <c r="AM31" s="68"/>
      <c r="AN31" s="68"/>
      <c r="AO31" s="68"/>
      <c r="AP31" s="68"/>
      <c r="AQ31" s="68"/>
      <c r="AR31" s="68"/>
      <c r="AS31" s="68"/>
      <c r="AT31" s="68"/>
      <c r="AU31" s="68"/>
    </row>
    <row r="32" spans="1:47" ht="14">
      <c r="A32" s="623"/>
      <c r="B32" s="35" t="s">
        <v>13</v>
      </c>
      <c r="C32" s="35" t="s">
        <v>302</v>
      </c>
      <c r="D32" s="35" t="s">
        <v>334</v>
      </c>
      <c r="E32" s="38">
        <v>6.2E-2</v>
      </c>
      <c r="F32" s="38">
        <v>7.6951585971203357E-2</v>
      </c>
      <c r="G32" s="38">
        <v>0.17292533632295384</v>
      </c>
      <c r="I32" s="69" t="s">
        <v>302</v>
      </c>
      <c r="J32" s="37">
        <v>-1.4047240118008472E-2</v>
      </c>
      <c r="K32" s="37">
        <v>0.1790195710909297</v>
      </c>
      <c r="L32" s="37">
        <v>2.6312494115714884E-2</v>
      </c>
      <c r="M32" s="37">
        <v>0.71796590511208291</v>
      </c>
      <c r="N32" s="37">
        <v>6.5507096254070252E-2</v>
      </c>
      <c r="O32" s="37">
        <v>0.5265162603958492</v>
      </c>
      <c r="P32" s="37">
        <v>0.54197305846881738</v>
      </c>
      <c r="Q32" s="37">
        <v>0.50651073708937444</v>
      </c>
      <c r="R32" s="37">
        <v>-0.13717593929740166</v>
      </c>
      <c r="S32" s="37">
        <v>2.3248569623084057E-2</v>
      </c>
      <c r="T32" s="37">
        <v>-0.15253002645895622</v>
      </c>
      <c r="U32" s="37">
        <v>0.63439999192122098</v>
      </c>
      <c r="V32" s="37">
        <v>0.49492168748412463</v>
      </c>
      <c r="W32" s="37">
        <v>0.56139519576366337</v>
      </c>
      <c r="X32" s="37">
        <v>0.6563862107050098</v>
      </c>
      <c r="Y32" s="37">
        <v>0.59131270571406425</v>
      </c>
      <c r="Z32" s="37">
        <v>0.64235963865024459</v>
      </c>
      <c r="AA32" s="37">
        <v>0.6996458135121284</v>
      </c>
      <c r="AB32" s="37">
        <v>0.66945035975878131</v>
      </c>
      <c r="AC32" s="37">
        <v>0.58905972972685039</v>
      </c>
      <c r="AD32" s="68">
        <v>0.50382028587376981</v>
      </c>
      <c r="AE32" s="68">
        <v>0.3555254909880225</v>
      </c>
      <c r="AF32" s="68">
        <v>0.77270072322556937</v>
      </c>
      <c r="AG32" s="68">
        <v>0.8492093615195726</v>
      </c>
      <c r="AH32" s="68">
        <v>0.92280064575563836</v>
      </c>
      <c r="AI32" s="68">
        <v>0.66294573295742809</v>
      </c>
      <c r="AJ32" s="68">
        <v>1</v>
      </c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</row>
    <row r="33" spans="1:47" ht="14">
      <c r="A33" s="623"/>
      <c r="B33" s="35" t="s">
        <v>13</v>
      </c>
      <c r="C33" s="35" t="s">
        <v>276</v>
      </c>
      <c r="D33" s="35" t="s">
        <v>335</v>
      </c>
      <c r="E33" s="38">
        <v>5.2000000000000005E-2</v>
      </c>
      <c r="F33" s="38">
        <v>7.2197769160256012E-2</v>
      </c>
      <c r="G33" s="38">
        <v>0.2009864132734151</v>
      </c>
      <c r="I33" s="69" t="s">
        <v>276</v>
      </c>
      <c r="J33" s="37">
        <v>3.2338356282484729E-2</v>
      </c>
      <c r="K33" s="37">
        <v>0.28469479930577335</v>
      </c>
      <c r="L33" s="37">
        <v>7.919720270682068E-2</v>
      </c>
      <c r="M33" s="37">
        <v>0.72714241224442111</v>
      </c>
      <c r="N33" s="37">
        <v>9.3693979014336085E-2</v>
      </c>
      <c r="O33" s="37">
        <v>0.47881417912144369</v>
      </c>
      <c r="P33" s="37">
        <v>0.52750488148464236</v>
      </c>
      <c r="Q33" s="37">
        <v>0.46713280775154087</v>
      </c>
      <c r="R33" s="37">
        <v>-6.3295842021893145E-2</v>
      </c>
      <c r="S33" s="37">
        <v>8.9707724188483579E-2</v>
      </c>
      <c r="T33" s="37">
        <v>-7.9727110329544992E-2</v>
      </c>
      <c r="U33" s="37">
        <v>0.51561379269388241</v>
      </c>
      <c r="V33" s="37">
        <v>0.44543115311618275</v>
      </c>
      <c r="W33" s="37">
        <v>0.44735001899688837</v>
      </c>
      <c r="X33" s="37">
        <v>0.83295967490969458</v>
      </c>
      <c r="Y33" s="37">
        <v>0.75016810701948966</v>
      </c>
      <c r="Z33" s="37">
        <v>0.80996744519176112</v>
      </c>
      <c r="AA33" s="37">
        <v>0.8333180576032827</v>
      </c>
      <c r="AB33" s="37">
        <v>0.71855421396432695</v>
      </c>
      <c r="AC33" s="37">
        <v>0.64854533729958308</v>
      </c>
      <c r="AD33" s="68">
        <v>0.51956052981039591</v>
      </c>
      <c r="AE33" s="68">
        <v>0.36938864278011169</v>
      </c>
      <c r="AF33" s="68">
        <v>0.76942777782585159</v>
      </c>
      <c r="AG33" s="68">
        <v>0.81391620885810756</v>
      </c>
      <c r="AH33" s="68">
        <v>0.78775015458442599</v>
      </c>
      <c r="AI33" s="68">
        <v>0.60892003715424603</v>
      </c>
      <c r="AJ33" s="68">
        <v>0.83433636988265891</v>
      </c>
      <c r="AK33" s="68">
        <v>1</v>
      </c>
      <c r="AL33" s="68"/>
      <c r="AM33" s="68"/>
      <c r="AN33" s="68"/>
      <c r="AO33" s="68"/>
      <c r="AP33" s="68"/>
      <c r="AQ33" s="68"/>
      <c r="AR33" s="68"/>
      <c r="AS33" s="68"/>
      <c r="AT33" s="68"/>
      <c r="AU33" s="68"/>
    </row>
    <row r="34" spans="1:47" ht="14">
      <c r="A34" s="623"/>
      <c r="B34" s="35" t="s">
        <v>13</v>
      </c>
      <c r="C34" s="35" t="s">
        <v>303</v>
      </c>
      <c r="D34" s="35" t="s">
        <v>336</v>
      </c>
      <c r="E34" s="38">
        <v>4.7E-2</v>
      </c>
      <c r="F34" s="38">
        <v>7.168170405829867E-2</v>
      </c>
      <c r="G34" s="38">
        <v>0.22217877512624232</v>
      </c>
      <c r="I34" s="69" t="s">
        <v>303</v>
      </c>
      <c r="J34" s="37">
        <v>1.6185394464525004E-2</v>
      </c>
      <c r="K34" s="37">
        <v>0.31872544885366133</v>
      </c>
      <c r="L34" s="37">
        <v>0.15414718860123555</v>
      </c>
      <c r="M34" s="37">
        <v>0.72422433939912978</v>
      </c>
      <c r="N34" s="37">
        <v>9.4520591092564651E-2</v>
      </c>
      <c r="O34" s="37">
        <v>0.54784420915103527</v>
      </c>
      <c r="P34" s="37">
        <v>0.59681504509793948</v>
      </c>
      <c r="Q34" s="37">
        <v>0.55570716902974138</v>
      </c>
      <c r="R34" s="37">
        <v>-4.8955575357923248E-2</v>
      </c>
      <c r="S34" s="37">
        <v>0.12285206358534549</v>
      </c>
      <c r="T34" s="37">
        <v>-5.2954699821316571E-2</v>
      </c>
      <c r="U34" s="37">
        <v>0.4924593931825485</v>
      </c>
      <c r="V34" s="37">
        <v>0.47184833673001647</v>
      </c>
      <c r="W34" s="37">
        <v>0.49109814524309775</v>
      </c>
      <c r="X34" s="37">
        <v>0.671833678376065</v>
      </c>
      <c r="Y34" s="37">
        <v>0.7020726612383642</v>
      </c>
      <c r="Z34" s="37">
        <v>0.70370961083169237</v>
      </c>
      <c r="AA34" s="37">
        <v>0.74561544436609972</v>
      </c>
      <c r="AB34" s="37">
        <v>0.82838580786271443</v>
      </c>
      <c r="AC34" s="37">
        <v>0.7708035102410612</v>
      </c>
      <c r="AD34" s="68">
        <v>0.57138144296018478</v>
      </c>
      <c r="AE34" s="68">
        <v>0.4521402336730333</v>
      </c>
      <c r="AF34" s="68">
        <v>0.78056545762872243</v>
      </c>
      <c r="AG34" s="68">
        <v>0.81108722848625847</v>
      </c>
      <c r="AH34" s="68">
        <v>0.83201465383304174</v>
      </c>
      <c r="AI34" s="68">
        <v>0.63478302043011736</v>
      </c>
      <c r="AJ34" s="68">
        <v>0.83584541765552334</v>
      </c>
      <c r="AK34" s="68">
        <v>0.83752036726988821</v>
      </c>
      <c r="AL34" s="68">
        <v>1</v>
      </c>
      <c r="AM34" s="68"/>
      <c r="AN34" s="68"/>
      <c r="AO34" s="68"/>
      <c r="AP34" s="68"/>
      <c r="AQ34" s="68"/>
      <c r="AR34" s="68"/>
      <c r="AS34" s="68"/>
      <c r="AT34" s="68"/>
      <c r="AU34" s="68"/>
    </row>
    <row r="35" spans="1:47" ht="14" customHeight="1">
      <c r="A35" s="619" t="s">
        <v>280</v>
      </c>
      <c r="B35" s="35" t="s">
        <v>13</v>
      </c>
      <c r="C35" s="35" t="s">
        <v>279</v>
      </c>
      <c r="D35" s="35" t="s">
        <v>337</v>
      </c>
      <c r="E35" s="38">
        <v>4.4999999999999998E-2</v>
      </c>
      <c r="F35" s="38">
        <v>5.6702186861672367E-2</v>
      </c>
      <c r="G35" s="38">
        <v>0.15298488070180249</v>
      </c>
      <c r="I35" s="69" t="s">
        <v>279</v>
      </c>
      <c r="J35" s="37">
        <v>-4.2006046257562629E-2</v>
      </c>
      <c r="K35" s="37">
        <v>0.19103567351224179</v>
      </c>
      <c r="L35" s="37">
        <v>3.5247272248267549E-2</v>
      </c>
      <c r="M35" s="37">
        <v>0.75751168782477873</v>
      </c>
      <c r="N35" s="37">
        <v>3.6934817730857737E-2</v>
      </c>
      <c r="O35" s="37">
        <v>0.49567634992301796</v>
      </c>
      <c r="P35" s="37">
        <v>0.53381354347104248</v>
      </c>
      <c r="Q35" s="37">
        <v>0.48277945901209285</v>
      </c>
      <c r="R35" s="37">
        <v>-0.15055289078891732</v>
      </c>
      <c r="S35" s="37">
        <v>3.0113315617261213E-2</v>
      </c>
      <c r="T35" s="37">
        <v>-0.16522008798030299</v>
      </c>
      <c r="U35" s="37">
        <v>0.50255747321634059</v>
      </c>
      <c r="V35" s="37">
        <v>0.43197651904299972</v>
      </c>
      <c r="W35" s="37">
        <v>0.45231549345495259</v>
      </c>
      <c r="X35" s="37">
        <v>0.65661786527907873</v>
      </c>
      <c r="Y35" s="37">
        <v>0.62185014759968016</v>
      </c>
      <c r="Z35" s="37">
        <v>0.65587149620587837</v>
      </c>
      <c r="AA35" s="37">
        <v>0.70987750161382368</v>
      </c>
      <c r="AB35" s="37">
        <v>0.67577604943549086</v>
      </c>
      <c r="AC35" s="37">
        <v>0.60649484031480949</v>
      </c>
      <c r="AD35" s="68">
        <v>0.48575324015558857</v>
      </c>
      <c r="AE35" s="68">
        <v>0.33437682388334428</v>
      </c>
      <c r="AF35" s="68">
        <v>0.78840892047940669</v>
      </c>
      <c r="AG35" s="68">
        <v>0.9737843137684663</v>
      </c>
      <c r="AH35" s="68">
        <v>0.94193986990145739</v>
      </c>
      <c r="AI35" s="68">
        <v>0.73790264277290085</v>
      </c>
      <c r="AJ35" s="68">
        <v>0.92419711124038095</v>
      </c>
      <c r="AK35" s="68">
        <v>0.86255676623739741</v>
      </c>
      <c r="AL35" s="68">
        <v>0.87385761511999094</v>
      </c>
      <c r="AM35" s="68">
        <v>1</v>
      </c>
      <c r="AN35" s="68"/>
      <c r="AO35" s="68"/>
      <c r="AP35" s="68"/>
      <c r="AQ35" s="68"/>
      <c r="AR35" s="68"/>
      <c r="AS35" s="68"/>
      <c r="AT35" s="68"/>
      <c r="AU35" s="68"/>
    </row>
    <row r="36" spans="1:47" ht="14">
      <c r="A36" s="621"/>
      <c r="B36" s="35" t="s">
        <v>13</v>
      </c>
      <c r="C36" s="35" t="s">
        <v>115</v>
      </c>
      <c r="D36" s="35" t="s">
        <v>338</v>
      </c>
      <c r="E36" s="38">
        <v>5.2999999999999999E-2</v>
      </c>
      <c r="F36" s="38">
        <v>7.5074099644536055E-2</v>
      </c>
      <c r="G36" s="38">
        <v>0.21011472887228091</v>
      </c>
      <c r="I36" s="69" t="s">
        <v>115</v>
      </c>
      <c r="J36" s="37">
        <v>4.2887796214404701E-2</v>
      </c>
      <c r="K36" s="37">
        <v>0.28733249545740774</v>
      </c>
      <c r="L36" s="37">
        <v>0.121856436643869</v>
      </c>
      <c r="M36" s="37">
        <v>0.72387431938577207</v>
      </c>
      <c r="N36" s="37">
        <v>6.6679742963413141E-2</v>
      </c>
      <c r="O36" s="37">
        <v>0.53879899348589477</v>
      </c>
      <c r="P36" s="37">
        <v>0.57655411768751497</v>
      </c>
      <c r="Q36" s="37">
        <v>0.52856367436830753</v>
      </c>
      <c r="R36" s="37">
        <v>-3.658064908965844E-2</v>
      </c>
      <c r="S36" s="37">
        <v>0.12153288813787042</v>
      </c>
      <c r="T36" s="37">
        <v>-5.7819089176292277E-2</v>
      </c>
      <c r="U36" s="37">
        <v>0.49977235471741605</v>
      </c>
      <c r="V36" s="37">
        <v>0.45328872296313838</v>
      </c>
      <c r="W36" s="37">
        <v>0.46923041179988495</v>
      </c>
      <c r="X36" s="37">
        <v>0.69790340353918701</v>
      </c>
      <c r="Y36" s="37">
        <v>0.68857320300162628</v>
      </c>
      <c r="Z36" s="37">
        <v>0.70801863129587428</v>
      </c>
      <c r="AA36" s="37">
        <v>0.73861107474620147</v>
      </c>
      <c r="AB36" s="37">
        <v>0.78742403779942693</v>
      </c>
      <c r="AC36" s="37">
        <v>0.71945219533938354</v>
      </c>
      <c r="AD36" s="68">
        <v>0.5429109736301545</v>
      </c>
      <c r="AE36" s="68">
        <v>0.42389070757541608</v>
      </c>
      <c r="AF36" s="68">
        <v>0.77764808885822767</v>
      </c>
      <c r="AG36" s="68">
        <v>0.7716317540651686</v>
      </c>
      <c r="AH36" s="68">
        <v>0.83549246522227094</v>
      </c>
      <c r="AI36" s="68">
        <v>0.65934703620866952</v>
      </c>
      <c r="AJ36" s="68">
        <v>0.81117106127217953</v>
      </c>
      <c r="AK36" s="68">
        <v>0.84491944670110863</v>
      </c>
      <c r="AL36" s="68">
        <v>0.86649686916628532</v>
      </c>
      <c r="AM36" s="68">
        <v>0.85059206378523666</v>
      </c>
      <c r="AN36" s="68">
        <v>1</v>
      </c>
      <c r="AO36" s="68"/>
      <c r="AP36" s="68"/>
      <c r="AQ36" s="68"/>
      <c r="AR36" s="68"/>
      <c r="AS36" s="68"/>
      <c r="AT36" s="68"/>
      <c r="AU36" s="68"/>
    </row>
    <row r="37" spans="1:47" ht="14">
      <c r="A37" s="621"/>
      <c r="B37" s="35" t="s">
        <v>13</v>
      </c>
      <c r="C37" s="35" t="s">
        <v>304</v>
      </c>
      <c r="D37" s="35" t="s">
        <v>339</v>
      </c>
      <c r="E37" s="38">
        <v>4.5999999999999999E-2</v>
      </c>
      <c r="F37" s="38">
        <v>5.8144789748050665E-2</v>
      </c>
      <c r="G37" s="38">
        <v>0.15585114531533395</v>
      </c>
      <c r="I37" s="69" t="s">
        <v>304</v>
      </c>
      <c r="J37" s="37">
        <v>-3.3247161868538773E-2</v>
      </c>
      <c r="K37" s="37">
        <v>0.20781615615352642</v>
      </c>
      <c r="L37" s="37">
        <v>4.8266976456436343E-2</v>
      </c>
      <c r="M37" s="37">
        <v>0.76777825676865075</v>
      </c>
      <c r="N37" s="37">
        <v>4.1746943065032155E-2</v>
      </c>
      <c r="O37" s="37">
        <v>0.51207627891795915</v>
      </c>
      <c r="P37" s="37">
        <v>0.55081748779966655</v>
      </c>
      <c r="Q37" s="37">
        <v>0.49948868422409864</v>
      </c>
      <c r="R37" s="37">
        <v>-0.13787192959667818</v>
      </c>
      <c r="S37" s="37">
        <v>4.3527585476413756E-2</v>
      </c>
      <c r="T37" s="37">
        <v>-0.1533046914923194</v>
      </c>
      <c r="U37" s="37">
        <v>0.51210658584079616</v>
      </c>
      <c r="V37" s="37">
        <v>0.44293774351973275</v>
      </c>
      <c r="W37" s="37">
        <v>0.46367201447888934</v>
      </c>
      <c r="X37" s="37">
        <v>0.67523117021252443</v>
      </c>
      <c r="Y37" s="37">
        <v>0.64382389580565269</v>
      </c>
      <c r="Z37" s="37">
        <v>0.67589214178926171</v>
      </c>
      <c r="AA37" s="37">
        <v>0.7277884880185771</v>
      </c>
      <c r="AB37" s="37">
        <v>0.70408878242152773</v>
      </c>
      <c r="AC37" s="37">
        <v>0.63326691464746676</v>
      </c>
      <c r="AD37" s="68">
        <v>0.50306802324476019</v>
      </c>
      <c r="AE37" s="68">
        <v>0.35399388611241667</v>
      </c>
      <c r="AF37" s="68">
        <v>0.80254710933968554</v>
      </c>
      <c r="AG37" s="68">
        <v>0.96333745993789155</v>
      </c>
      <c r="AH37" s="68">
        <v>0.9445446771049878</v>
      </c>
      <c r="AI37" s="68">
        <v>0.73737676030982946</v>
      </c>
      <c r="AJ37" s="68">
        <v>0.92577939453238511</v>
      </c>
      <c r="AK37" s="68">
        <v>0.87511390051261873</v>
      </c>
      <c r="AL37" s="68">
        <v>0.88848679067118408</v>
      </c>
      <c r="AM37" s="68">
        <v>0.99726782198792818</v>
      </c>
      <c r="AN37" s="68">
        <v>0.88593992335179172</v>
      </c>
      <c r="AO37" s="68">
        <v>1</v>
      </c>
      <c r="AP37" s="68"/>
      <c r="AQ37" s="68"/>
      <c r="AR37" s="68"/>
      <c r="AS37" s="68"/>
      <c r="AT37" s="68"/>
      <c r="AU37" s="68"/>
    </row>
    <row r="38" spans="1:47" ht="14" customHeight="1">
      <c r="A38" s="624" t="s">
        <v>278</v>
      </c>
      <c r="B38" s="35" t="s">
        <v>21</v>
      </c>
      <c r="C38" s="35" t="s">
        <v>305</v>
      </c>
      <c r="D38" s="35" t="s">
        <v>340</v>
      </c>
      <c r="E38" s="38">
        <v>0.05</v>
      </c>
      <c r="F38" s="38">
        <v>7.1563176823979682E-2</v>
      </c>
      <c r="G38" s="38">
        <v>0.20766885574866387</v>
      </c>
      <c r="I38" s="69" t="s">
        <v>305</v>
      </c>
      <c r="J38" s="37">
        <v>6.0051807299283153E-2</v>
      </c>
      <c r="K38" s="37">
        <v>0.22277175185276077</v>
      </c>
      <c r="L38" s="37">
        <v>1.95885137007703E-3</v>
      </c>
      <c r="M38" s="37">
        <v>0.61163570264483857</v>
      </c>
      <c r="N38" s="37">
        <v>-8.2079689570654386E-3</v>
      </c>
      <c r="O38" s="37">
        <v>0.52917043272132158</v>
      </c>
      <c r="P38" s="37">
        <v>0.5235336141464173</v>
      </c>
      <c r="Q38" s="37">
        <v>0.48223828430330817</v>
      </c>
      <c r="R38" s="37">
        <v>-2.7085221164204074E-2</v>
      </c>
      <c r="S38" s="37">
        <v>7.4127378503127242E-2</v>
      </c>
      <c r="T38" s="37">
        <v>-5.9738566167962824E-2</v>
      </c>
      <c r="U38" s="37">
        <v>0.52172460860436976</v>
      </c>
      <c r="V38" s="37">
        <v>0.39576575197334507</v>
      </c>
      <c r="W38" s="37">
        <v>0.42179935784621048</v>
      </c>
      <c r="X38" s="37">
        <v>0.70811314410575599</v>
      </c>
      <c r="Y38" s="37">
        <v>0.62363515857370144</v>
      </c>
      <c r="Z38" s="37">
        <v>0.67077953110187516</v>
      </c>
      <c r="AA38" s="37">
        <v>0.71086240704881631</v>
      </c>
      <c r="AB38" s="37">
        <v>0.72015510194651111</v>
      </c>
      <c r="AC38" s="37">
        <v>0.63555957946663377</v>
      </c>
      <c r="AD38" s="68">
        <v>0.47509959786274053</v>
      </c>
      <c r="AE38" s="68">
        <v>0.35578639463839229</v>
      </c>
      <c r="AF38" s="68">
        <v>0.67357471930548984</v>
      </c>
      <c r="AG38" s="68">
        <v>0.74323167730594175</v>
      </c>
      <c r="AH38" s="68">
        <v>0.77729698945203662</v>
      </c>
      <c r="AI38" s="68">
        <v>0.6240785107368676</v>
      </c>
      <c r="AJ38" s="68">
        <v>0.84015431829550125</v>
      </c>
      <c r="AK38" s="68">
        <v>0.88270654673814419</v>
      </c>
      <c r="AL38" s="68">
        <v>0.82417734623480687</v>
      </c>
      <c r="AM38" s="68">
        <v>0.81693694160364538</v>
      </c>
      <c r="AN38" s="68">
        <v>0.82922722688493333</v>
      </c>
      <c r="AO38" s="68">
        <v>0.83220425773775064</v>
      </c>
      <c r="AP38" s="68">
        <v>1</v>
      </c>
      <c r="AQ38" s="68"/>
      <c r="AR38" s="68"/>
      <c r="AS38" s="68"/>
      <c r="AT38" s="68"/>
      <c r="AU38" s="68"/>
    </row>
    <row r="39" spans="1:47" ht="14">
      <c r="A39" s="625"/>
      <c r="B39" s="35" t="s">
        <v>21</v>
      </c>
      <c r="C39" s="35" t="s">
        <v>306</v>
      </c>
      <c r="D39" s="35" t="s">
        <v>341</v>
      </c>
      <c r="E39" s="38">
        <v>5.0999999999999997E-2</v>
      </c>
      <c r="F39" s="38">
        <v>6.8263215356809223E-2</v>
      </c>
      <c r="G39" s="38">
        <v>0.18581289167767245</v>
      </c>
      <c r="I39" s="69" t="s">
        <v>306</v>
      </c>
      <c r="J39" s="37">
        <v>-1.6583252588070533E-2</v>
      </c>
      <c r="K39" s="37">
        <v>0.36357470669719011</v>
      </c>
      <c r="L39" s="37">
        <v>0.26651684455654445</v>
      </c>
      <c r="M39" s="37">
        <v>0.77483255657659122</v>
      </c>
      <c r="N39" s="37">
        <v>0.20604829648991568</v>
      </c>
      <c r="O39" s="37">
        <v>0.47088943075817996</v>
      </c>
      <c r="P39" s="37">
        <v>0.57761273260765433</v>
      </c>
      <c r="Q39" s="37">
        <v>0.51969314198341465</v>
      </c>
      <c r="R39" s="37">
        <v>7.5297866589793677E-3</v>
      </c>
      <c r="S39" s="37">
        <v>0.20599214442618369</v>
      </c>
      <c r="T39" s="37">
        <v>1.4820964864946086E-2</v>
      </c>
      <c r="U39" s="37">
        <v>0.43866588543735752</v>
      </c>
      <c r="V39" s="37">
        <v>0.51786078861873608</v>
      </c>
      <c r="W39" s="37">
        <v>0.51355155408181619</v>
      </c>
      <c r="X39" s="37">
        <v>0.59345344474562112</v>
      </c>
      <c r="Y39" s="37">
        <v>0.66359607895607864</v>
      </c>
      <c r="Z39" s="37">
        <v>0.65822051138742865</v>
      </c>
      <c r="AA39" s="37">
        <v>0.66271827983775011</v>
      </c>
      <c r="AB39" s="37">
        <v>0.66444521257408951</v>
      </c>
      <c r="AC39" s="37">
        <v>0.6582815567182293</v>
      </c>
      <c r="AD39" s="68">
        <v>0.59421750043189114</v>
      </c>
      <c r="AE39" s="68">
        <v>0.4804252838496752</v>
      </c>
      <c r="AF39" s="68">
        <v>0.79970069768536789</v>
      </c>
      <c r="AG39" s="68">
        <v>0.80539009121302274</v>
      </c>
      <c r="AH39" s="68">
        <v>0.8038865544743351</v>
      </c>
      <c r="AI39" s="68">
        <v>0.66433395910824922</v>
      </c>
      <c r="AJ39" s="68">
        <v>0.78842059346148052</v>
      </c>
      <c r="AK39" s="68">
        <v>0.75329586504432755</v>
      </c>
      <c r="AL39" s="68">
        <v>0.81679037933836973</v>
      </c>
      <c r="AM39" s="68">
        <v>0.84779851004858831</v>
      </c>
      <c r="AN39" s="68">
        <v>0.79225650155965988</v>
      </c>
      <c r="AO39" s="68">
        <v>0.85541419142716624</v>
      </c>
      <c r="AP39" s="68">
        <v>0.65443212424706199</v>
      </c>
      <c r="AQ39" s="68">
        <v>1</v>
      </c>
      <c r="AR39" s="68"/>
      <c r="AS39" s="68"/>
      <c r="AT39" s="68"/>
      <c r="AU39" s="68"/>
    </row>
    <row r="40" spans="1:47" ht="14">
      <c r="A40" s="625"/>
      <c r="B40" s="35" t="s">
        <v>21</v>
      </c>
      <c r="C40" s="35" t="s">
        <v>307</v>
      </c>
      <c r="D40" s="35" t="s">
        <v>342</v>
      </c>
      <c r="E40" s="38">
        <v>5.5E-2</v>
      </c>
      <c r="F40" s="38">
        <v>6.7050891286695308E-2</v>
      </c>
      <c r="G40" s="38">
        <v>0.15524748813874772</v>
      </c>
      <c r="I40" s="69" t="s">
        <v>307</v>
      </c>
      <c r="J40" s="37">
        <v>5.0855048552698422E-2</v>
      </c>
      <c r="K40" s="37">
        <v>0.36361997006933194</v>
      </c>
      <c r="L40" s="37">
        <v>0.2585988323901402</v>
      </c>
      <c r="M40" s="37">
        <v>0.75009300464114059</v>
      </c>
      <c r="N40" s="37">
        <v>0.22806956768330036</v>
      </c>
      <c r="O40" s="37">
        <v>0.57195533420216627</v>
      </c>
      <c r="P40" s="37">
        <v>0.65930683969641435</v>
      </c>
      <c r="Q40" s="37">
        <v>0.61333567484266394</v>
      </c>
      <c r="R40" s="37">
        <v>1.6184343779148309E-2</v>
      </c>
      <c r="S40" s="37">
        <v>0.21340461872745115</v>
      </c>
      <c r="T40" s="37">
        <v>3.2455509503684483E-2</v>
      </c>
      <c r="U40" s="37">
        <v>0.51781452370456171</v>
      </c>
      <c r="V40" s="37">
        <v>0.5784807188513994</v>
      </c>
      <c r="W40" s="37">
        <v>0.56466747540595941</v>
      </c>
      <c r="X40" s="37">
        <v>0.66124277370562623</v>
      </c>
      <c r="Y40" s="37">
        <v>0.69417895983414224</v>
      </c>
      <c r="Z40" s="37">
        <v>0.72589295114203534</v>
      </c>
      <c r="AA40" s="37">
        <v>0.72620551497013031</v>
      </c>
      <c r="AB40" s="37">
        <v>0.70445848973085756</v>
      </c>
      <c r="AC40" s="37">
        <v>0.68911121506473594</v>
      </c>
      <c r="AD40" s="68">
        <v>0.65451719084720195</v>
      </c>
      <c r="AE40" s="68">
        <v>0.54085037557142757</v>
      </c>
      <c r="AF40" s="68">
        <v>0.80650855262578491</v>
      </c>
      <c r="AG40" s="68">
        <v>0.80290942196291593</v>
      </c>
      <c r="AH40" s="68">
        <v>0.86675655054500966</v>
      </c>
      <c r="AI40" s="68">
        <v>0.65558030372877663</v>
      </c>
      <c r="AJ40" s="68">
        <v>0.86137236388376281</v>
      </c>
      <c r="AK40" s="68">
        <v>0.8222024147977155</v>
      </c>
      <c r="AL40" s="68">
        <v>0.85537942810464318</v>
      </c>
      <c r="AM40" s="68">
        <v>0.87235508753061841</v>
      </c>
      <c r="AN40" s="68">
        <v>0.81004353814900165</v>
      </c>
      <c r="AO40" s="68">
        <v>0.87887198064631489</v>
      </c>
      <c r="AP40" s="68">
        <v>0.78207222477064509</v>
      </c>
      <c r="AQ40" s="68">
        <v>0.85933560811393506</v>
      </c>
      <c r="AR40" s="68">
        <v>1</v>
      </c>
      <c r="AS40" s="68"/>
      <c r="AT40" s="68"/>
      <c r="AU40" s="68"/>
    </row>
    <row r="41" spans="1:47" ht="14">
      <c r="A41" s="625"/>
      <c r="B41" s="35" t="s">
        <v>21</v>
      </c>
      <c r="C41" s="35" t="s">
        <v>22</v>
      </c>
      <c r="D41" s="35" t="s">
        <v>343</v>
      </c>
      <c r="E41" s="38">
        <v>7.5999999999999998E-2</v>
      </c>
      <c r="F41" s="38">
        <v>9.551978213509052E-2</v>
      </c>
      <c r="G41" s="38">
        <v>0.19758432192403586</v>
      </c>
      <c r="I41" s="69" t="s">
        <v>22</v>
      </c>
      <c r="J41" s="37">
        <v>4.554737534578298E-3</v>
      </c>
      <c r="K41" s="37">
        <v>6.2312192994260218E-2</v>
      </c>
      <c r="L41" s="37">
        <v>-0.28942647647433895</v>
      </c>
      <c r="M41" s="37">
        <v>0.65571798320958008</v>
      </c>
      <c r="N41" s="37">
        <v>-0.13119058318846941</v>
      </c>
      <c r="O41" s="37">
        <v>0.40575430349242153</v>
      </c>
      <c r="P41" s="37">
        <v>0.46106630486622691</v>
      </c>
      <c r="Q41" s="37">
        <v>0.33655439386378022</v>
      </c>
      <c r="R41" s="37">
        <v>-0.22264383269390181</v>
      </c>
      <c r="S41" s="37">
        <v>-0.11456598886875913</v>
      </c>
      <c r="T41" s="37">
        <v>-0.25733034385020948</v>
      </c>
      <c r="U41" s="37">
        <v>0.56765028088599223</v>
      </c>
      <c r="V41" s="37">
        <v>0.55733534629458403</v>
      </c>
      <c r="W41" s="37">
        <v>0.5072906657068843</v>
      </c>
      <c r="X41" s="37">
        <v>0.65744209920680796</v>
      </c>
      <c r="Y41" s="37">
        <v>0.55303391166912985</v>
      </c>
      <c r="Z41" s="37">
        <v>0.57330641023133799</v>
      </c>
      <c r="AA41" s="37">
        <v>0.62919584637464787</v>
      </c>
      <c r="AB41" s="37">
        <v>0.64029613780102113</v>
      </c>
      <c r="AC41" s="37">
        <v>0.52170739927914389</v>
      </c>
      <c r="AD41" s="68">
        <v>0.5123015109946446</v>
      </c>
      <c r="AE41" s="68">
        <v>9.6923935336802908E-2</v>
      </c>
      <c r="AF41" s="68">
        <v>0.65681299827250672</v>
      </c>
      <c r="AG41" s="68">
        <v>0.81685286108189847</v>
      </c>
      <c r="AH41" s="68">
        <v>0.76126960465158344</v>
      </c>
      <c r="AI41" s="68">
        <v>0.5848551828440316</v>
      </c>
      <c r="AJ41" s="68">
        <v>0.74437217244037501</v>
      </c>
      <c r="AK41" s="68">
        <v>0.75888929061505184</v>
      </c>
      <c r="AL41" s="68">
        <v>0.74755204155734301</v>
      </c>
      <c r="AM41" s="68">
        <v>0.8045781341528061</v>
      </c>
      <c r="AN41" s="68">
        <v>0.75093260287836205</v>
      </c>
      <c r="AO41" s="68">
        <v>0.80558306472031649</v>
      </c>
      <c r="AP41" s="68">
        <v>0.70758181952317856</v>
      </c>
      <c r="AQ41" s="68">
        <v>0.65399083329521568</v>
      </c>
      <c r="AR41" s="68">
        <v>0.69055352427304117</v>
      </c>
      <c r="AS41" s="68">
        <v>1</v>
      </c>
      <c r="AT41" s="68"/>
      <c r="AU41" s="68"/>
    </row>
    <row r="42" spans="1:47" ht="14">
      <c r="A42" s="625"/>
      <c r="B42" s="35" t="s">
        <v>21</v>
      </c>
      <c r="C42" s="35" t="s">
        <v>23</v>
      </c>
      <c r="D42" s="35" t="s">
        <v>344</v>
      </c>
      <c r="E42" s="38">
        <v>0.06</v>
      </c>
      <c r="F42" s="38">
        <v>6.617933227881892E-2</v>
      </c>
      <c r="G42" s="38">
        <v>0.11116953070710446</v>
      </c>
      <c r="I42" s="69" t="s">
        <v>23</v>
      </c>
      <c r="J42" s="37">
        <v>-2.8064536733122484E-2</v>
      </c>
      <c r="K42" s="37">
        <v>0.10781667679156084</v>
      </c>
      <c r="L42" s="37">
        <v>-0.1904855571162393</v>
      </c>
      <c r="M42" s="37">
        <v>0.77451470444630655</v>
      </c>
      <c r="N42" s="37">
        <v>-4.6718233223246745E-2</v>
      </c>
      <c r="O42" s="37">
        <v>0.40607531401437785</v>
      </c>
      <c r="P42" s="37">
        <v>0.50689453632401693</v>
      </c>
      <c r="Q42" s="37">
        <v>0.38087536710232622</v>
      </c>
      <c r="R42" s="37">
        <v>-0.17824851516705814</v>
      </c>
      <c r="S42" s="37">
        <v>-6.1640172090481789E-3</v>
      </c>
      <c r="T42" s="37">
        <v>-0.20291434014113144</v>
      </c>
      <c r="U42" s="37">
        <v>0.60891236168719576</v>
      </c>
      <c r="V42" s="37">
        <v>0.650327336083662</v>
      </c>
      <c r="W42" s="37">
        <v>0.61542465470658059</v>
      </c>
      <c r="X42" s="37">
        <v>0.72966164124814326</v>
      </c>
      <c r="Y42" s="37">
        <v>0.62268657589646426</v>
      </c>
      <c r="Z42" s="37">
        <v>0.66313435984145597</v>
      </c>
      <c r="AA42" s="37">
        <v>0.76457101962793683</v>
      </c>
      <c r="AB42" s="37">
        <v>0.70495169605668906</v>
      </c>
      <c r="AC42" s="37">
        <v>0.58050127228376613</v>
      </c>
      <c r="AD42" s="68">
        <v>0.59831459453898739</v>
      </c>
      <c r="AE42" s="68">
        <v>0.17729383927055059</v>
      </c>
      <c r="AF42" s="68">
        <v>0.77171953995814435</v>
      </c>
      <c r="AG42" s="68">
        <v>0.7984249633796846</v>
      </c>
      <c r="AH42" s="68">
        <v>0.78892908090481872</v>
      </c>
      <c r="AI42" s="68">
        <v>0.59065167623382031</v>
      </c>
      <c r="AJ42" s="68">
        <v>0.79497356574218925</v>
      </c>
      <c r="AK42" s="68">
        <v>0.81781551892624271</v>
      </c>
      <c r="AL42" s="68">
        <v>0.7797341845841631</v>
      </c>
      <c r="AM42" s="68">
        <v>0.81181749938061043</v>
      </c>
      <c r="AN42" s="68">
        <v>0.77870400868580569</v>
      </c>
      <c r="AO42" s="68">
        <v>0.81559388135226718</v>
      </c>
      <c r="AP42" s="68">
        <v>0.69866919576209496</v>
      </c>
      <c r="AQ42" s="68">
        <v>0.77237403174266661</v>
      </c>
      <c r="AR42" s="68">
        <v>0.76627867005717543</v>
      </c>
      <c r="AS42" s="68">
        <v>0.87831675958847333</v>
      </c>
      <c r="AT42" s="68">
        <v>1</v>
      </c>
      <c r="AU42" s="68"/>
    </row>
    <row r="43" spans="1:47" ht="14">
      <c r="A43" s="625"/>
      <c r="B43" s="35" t="s">
        <v>21</v>
      </c>
      <c r="C43" s="35" t="s">
        <v>139</v>
      </c>
      <c r="D43" s="35" t="s">
        <v>345</v>
      </c>
      <c r="E43" s="38">
        <v>2.8999999999999998E-2</v>
      </c>
      <c r="F43" s="38">
        <v>3.0998250516568845E-2</v>
      </c>
      <c r="G43" s="38">
        <v>6.3217885389640308E-2</v>
      </c>
      <c r="I43" s="69" t="s">
        <v>139</v>
      </c>
      <c r="J43" s="37">
        <v>-1.1961782931897223E-3</v>
      </c>
      <c r="K43" s="37">
        <v>0.22751919076067678</v>
      </c>
      <c r="L43" s="37">
        <v>2.6492034090098534E-2</v>
      </c>
      <c r="M43" s="37">
        <v>0.75156544620365895</v>
      </c>
      <c r="N43" s="37">
        <v>7.138282842348212E-2</v>
      </c>
      <c r="O43" s="37">
        <v>0.42827853070491861</v>
      </c>
      <c r="P43" s="37">
        <v>0.48517518697793333</v>
      </c>
      <c r="Q43" s="37">
        <v>0.42285091510753386</v>
      </c>
      <c r="R43" s="37">
        <v>-0.12801398576024511</v>
      </c>
      <c r="S43" s="37">
        <v>2.0903448886082553E-2</v>
      </c>
      <c r="T43" s="37">
        <v>-0.14525135707154521</v>
      </c>
      <c r="U43" s="37">
        <v>0.5015527614558104</v>
      </c>
      <c r="V43" s="37">
        <v>0.44529723323533726</v>
      </c>
      <c r="W43" s="37">
        <v>0.44391728305762107</v>
      </c>
      <c r="X43" s="37">
        <v>0.65358068137113989</v>
      </c>
      <c r="Y43" s="37">
        <v>0.63335714557476053</v>
      </c>
      <c r="Z43" s="37">
        <v>0.65600239980545438</v>
      </c>
      <c r="AA43" s="37">
        <v>0.72508721300822798</v>
      </c>
      <c r="AB43" s="37">
        <v>0.66497022518014548</v>
      </c>
      <c r="AC43" s="37">
        <v>0.57879615895858783</v>
      </c>
      <c r="AD43" s="68">
        <v>0.4750368403003114</v>
      </c>
      <c r="AE43" s="68">
        <v>0.30374376510235118</v>
      </c>
      <c r="AF43" s="68">
        <v>0.7824067017630536</v>
      </c>
      <c r="AG43" s="68">
        <v>0.85137543323420661</v>
      </c>
      <c r="AH43" s="68">
        <v>0.83401830877677685</v>
      </c>
      <c r="AI43" s="68">
        <v>0.68300406370525357</v>
      </c>
      <c r="AJ43" s="68">
        <v>0.85870024810412993</v>
      </c>
      <c r="AK43" s="68">
        <v>0.88671232754650375</v>
      </c>
      <c r="AL43" s="68">
        <v>0.83966510543919082</v>
      </c>
      <c r="AM43" s="68">
        <v>0.89823435311532585</v>
      </c>
      <c r="AN43" s="68">
        <v>0.86305545627880609</v>
      </c>
      <c r="AO43" s="68">
        <v>0.90876236698493884</v>
      </c>
      <c r="AP43" s="68">
        <v>0.84684867077641657</v>
      </c>
      <c r="AQ43" s="68">
        <v>0.75720821496195478</v>
      </c>
      <c r="AR43" s="68">
        <v>0.82172304551406339</v>
      </c>
      <c r="AS43" s="68">
        <v>0.71369522364095872</v>
      </c>
      <c r="AT43" s="68">
        <v>0.70613340892205778</v>
      </c>
      <c r="AU43" s="68">
        <v>1</v>
      </c>
    </row>
  </sheetData>
  <mergeCells count="21">
    <mergeCell ref="A6:A10"/>
    <mergeCell ref="A11:A13"/>
    <mergeCell ref="A14:A16"/>
    <mergeCell ref="A17:A19"/>
    <mergeCell ref="A20:A23"/>
    <mergeCell ref="A24:A25"/>
    <mergeCell ref="A26:A28"/>
    <mergeCell ref="A29:A34"/>
    <mergeCell ref="A35:A37"/>
    <mergeCell ref="A38:A43"/>
    <mergeCell ref="AG4:AL4"/>
    <mergeCell ref="AM4:AO4"/>
    <mergeCell ref="AP4:AU4"/>
    <mergeCell ref="B2:AU3"/>
    <mergeCell ref="O4:Q4"/>
    <mergeCell ref="R4:T4"/>
    <mergeCell ref="U4:W4"/>
    <mergeCell ref="X4:AA4"/>
    <mergeCell ref="AB4:AC4"/>
    <mergeCell ref="AD4:AF4"/>
    <mergeCell ref="J4:N4"/>
  </mergeCell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6ECBE-9A76-401E-B7B9-5D45BF0E2C2E}">
  <sheetPr codeName="Sheet8">
    <tabColor theme="8" tint="0.39997558519241921"/>
  </sheetPr>
  <dimension ref="A1:AU42"/>
  <sheetViews>
    <sheetView showGridLines="0" zoomScale="85" zoomScaleNormal="85" workbookViewId="0">
      <selection activeCell="L12" sqref="L12"/>
    </sheetView>
  </sheetViews>
  <sheetFormatPr baseColWidth="10" defaultColWidth="0" defaultRowHeight="15"/>
  <cols>
    <col min="1" max="1" width="1.83203125" customWidth="1"/>
    <col min="2" max="2" width="13" style="35" customWidth="1"/>
    <col min="3" max="3" width="32.5" style="35" customWidth="1"/>
    <col min="4" max="4" width="46.83203125" style="35" customWidth="1"/>
    <col min="5" max="5" width="9.6640625" style="35" customWidth="1"/>
    <col min="6" max="6" width="9" style="35" customWidth="1"/>
    <col min="7" max="7" width="9.1640625" style="35" customWidth="1"/>
    <col min="8" max="8" width="3.33203125" style="35" customWidth="1"/>
    <col min="9" max="9" width="34.1640625" style="35" customWidth="1"/>
    <col min="10" max="46" width="5.33203125" style="35" customWidth="1"/>
    <col min="47" max="47" width="8.83203125" style="35" customWidth="1"/>
    <col min="48" max="16384" width="8.83203125" style="35" hidden="1"/>
  </cols>
  <sheetData>
    <row r="1" spans="1:46" customFormat="1"/>
    <row r="2" spans="1:46" customFormat="1" ht="14.75" customHeight="1">
      <c r="B2" s="610" t="s">
        <v>346</v>
      </c>
      <c r="C2" s="610"/>
      <c r="D2" s="610"/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  <c r="R2" s="610"/>
      <c r="S2" s="610"/>
      <c r="T2" s="610"/>
      <c r="U2" s="610"/>
      <c r="V2" s="610"/>
      <c r="W2" s="610"/>
      <c r="X2" s="610"/>
      <c r="Y2" s="610"/>
      <c r="Z2" s="610"/>
      <c r="AA2" s="610"/>
      <c r="AB2" s="610"/>
      <c r="AC2" s="610"/>
      <c r="AD2" s="610"/>
      <c r="AE2" s="610"/>
      <c r="AF2" s="610"/>
      <c r="AG2" s="610"/>
      <c r="AH2" s="610"/>
      <c r="AI2" s="610"/>
      <c r="AJ2" s="610"/>
      <c r="AK2" s="610"/>
      <c r="AL2" s="610"/>
      <c r="AM2" s="610"/>
      <c r="AN2" s="610"/>
      <c r="AO2" s="610"/>
      <c r="AP2" s="610"/>
      <c r="AQ2" s="610"/>
      <c r="AR2" s="610"/>
      <c r="AS2" s="610"/>
      <c r="AT2" s="610"/>
    </row>
    <row r="3" spans="1:46" customFormat="1" ht="14.75" customHeight="1"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  <c r="R3" s="610"/>
      <c r="S3" s="610"/>
      <c r="T3" s="610"/>
      <c r="U3" s="610"/>
      <c r="V3" s="610"/>
      <c r="W3" s="610"/>
      <c r="X3" s="610"/>
      <c r="Y3" s="610"/>
      <c r="Z3" s="610"/>
      <c r="AA3" s="610"/>
      <c r="AB3" s="610"/>
      <c r="AC3" s="610"/>
      <c r="AD3" s="610"/>
      <c r="AE3" s="610"/>
      <c r="AF3" s="610"/>
      <c r="AG3" s="610"/>
      <c r="AH3" s="610"/>
      <c r="AI3" s="610"/>
      <c r="AJ3" s="610"/>
      <c r="AK3" s="610"/>
      <c r="AL3" s="610"/>
      <c r="AM3" s="610"/>
      <c r="AN3" s="610"/>
      <c r="AO3" s="610"/>
      <c r="AP3" s="610"/>
      <c r="AQ3" s="610"/>
      <c r="AR3" s="610"/>
      <c r="AS3" s="610"/>
      <c r="AT3" s="610"/>
    </row>
    <row r="4" spans="1:46" customFormat="1" ht="12.5" customHeight="1"/>
    <row r="5" spans="1:46" s="45" customFormat="1" ht="68" customHeight="1">
      <c r="A5"/>
      <c r="B5" s="39" t="s">
        <v>54</v>
      </c>
      <c r="C5" s="39" t="s">
        <v>143</v>
      </c>
      <c r="D5" s="39" t="s">
        <v>144</v>
      </c>
      <c r="E5" s="40" t="s">
        <v>145</v>
      </c>
      <c r="F5" s="40" t="s">
        <v>33</v>
      </c>
      <c r="G5" s="40" t="s">
        <v>34</v>
      </c>
      <c r="H5" s="36"/>
      <c r="I5" s="34" t="s">
        <v>146</v>
      </c>
      <c r="J5" s="72" t="s">
        <v>147</v>
      </c>
      <c r="K5" s="72" t="s">
        <v>347</v>
      </c>
      <c r="L5" s="72" t="s">
        <v>348</v>
      </c>
      <c r="M5" s="72" t="s">
        <v>114</v>
      </c>
      <c r="N5" s="72" t="s">
        <v>109</v>
      </c>
      <c r="O5" s="72" t="s">
        <v>349</v>
      </c>
      <c r="P5" s="72" t="s">
        <v>350</v>
      </c>
      <c r="Q5" s="72" t="s">
        <v>351</v>
      </c>
      <c r="R5" s="72" t="s">
        <v>352</v>
      </c>
      <c r="S5" s="72" t="s">
        <v>63</v>
      </c>
      <c r="T5" s="72" t="s">
        <v>353</v>
      </c>
      <c r="U5" s="72" t="s">
        <v>354</v>
      </c>
      <c r="V5" s="72" t="s">
        <v>355</v>
      </c>
      <c r="W5" s="72" t="s">
        <v>356</v>
      </c>
      <c r="X5" s="72" t="s">
        <v>357</v>
      </c>
      <c r="Y5" s="72" t="s">
        <v>358</v>
      </c>
      <c r="Z5" s="72" t="s">
        <v>301</v>
      </c>
      <c r="AA5" s="72" t="s">
        <v>225</v>
      </c>
      <c r="AB5" s="72" t="s">
        <v>359</v>
      </c>
      <c r="AC5" s="72" t="s">
        <v>360</v>
      </c>
      <c r="AD5" s="72" t="s">
        <v>361</v>
      </c>
      <c r="AE5" s="72" t="s">
        <v>362</v>
      </c>
      <c r="AF5" s="72" t="s">
        <v>363</v>
      </c>
      <c r="AG5" s="72" t="s">
        <v>364</v>
      </c>
      <c r="AH5" s="72" t="s">
        <v>121</v>
      </c>
      <c r="AI5" s="72" t="s">
        <v>19</v>
      </c>
      <c r="AJ5" s="72" t="s">
        <v>365</v>
      </c>
      <c r="AK5" s="72" t="s">
        <v>229</v>
      </c>
      <c r="AL5" s="72" t="s">
        <v>366</v>
      </c>
      <c r="AM5" s="72" t="s">
        <v>129</v>
      </c>
      <c r="AN5" s="72" t="s">
        <v>367</v>
      </c>
      <c r="AO5" s="72" t="s">
        <v>270</v>
      </c>
      <c r="AP5" s="72" t="s">
        <v>271</v>
      </c>
      <c r="AQ5" s="72" t="s">
        <v>208</v>
      </c>
      <c r="AR5" s="72" t="s">
        <v>139</v>
      </c>
      <c r="AS5" s="72" t="s">
        <v>135</v>
      </c>
      <c r="AT5" s="72" t="s">
        <v>22</v>
      </c>
    </row>
    <row r="6" spans="1:46">
      <c r="B6" s="35" t="s">
        <v>13</v>
      </c>
      <c r="C6" s="35" t="s">
        <v>147</v>
      </c>
      <c r="E6" s="38"/>
      <c r="F6" s="38">
        <v>5.5999999999999994E-2</v>
      </c>
      <c r="G6" s="38">
        <v>0.17800000000000002</v>
      </c>
      <c r="I6" s="69" t="s">
        <v>147</v>
      </c>
      <c r="J6" s="37">
        <v>1</v>
      </c>
      <c r="K6" s="37" t="s">
        <v>368</v>
      </c>
      <c r="L6" s="37" t="s">
        <v>368</v>
      </c>
      <c r="M6" s="37" t="s">
        <v>368</v>
      </c>
      <c r="N6" s="37" t="s">
        <v>368</v>
      </c>
      <c r="O6" s="37" t="s">
        <v>368</v>
      </c>
      <c r="P6" s="37" t="s">
        <v>368</v>
      </c>
      <c r="Q6" s="37" t="s">
        <v>368</v>
      </c>
      <c r="R6" s="37" t="s">
        <v>368</v>
      </c>
      <c r="S6" s="37" t="s">
        <v>368</v>
      </c>
      <c r="T6" s="37" t="s">
        <v>368</v>
      </c>
      <c r="U6" s="37" t="s">
        <v>368</v>
      </c>
      <c r="V6" s="37" t="s">
        <v>368</v>
      </c>
      <c r="W6" s="37" t="s">
        <v>368</v>
      </c>
      <c r="X6" s="37" t="s">
        <v>368</v>
      </c>
      <c r="Y6" s="37" t="s">
        <v>368</v>
      </c>
      <c r="Z6" s="37" t="s">
        <v>368</v>
      </c>
      <c r="AA6" s="37" t="s">
        <v>368</v>
      </c>
      <c r="AB6" s="37" t="s">
        <v>368</v>
      </c>
      <c r="AC6" s="37" t="s">
        <v>368</v>
      </c>
      <c r="AD6" s="68" t="s">
        <v>368</v>
      </c>
      <c r="AE6" s="68" t="s">
        <v>368</v>
      </c>
      <c r="AF6" s="68" t="s">
        <v>368</v>
      </c>
      <c r="AG6" s="68" t="s">
        <v>368</v>
      </c>
      <c r="AH6" s="68" t="s">
        <v>368</v>
      </c>
      <c r="AI6" s="68" t="s">
        <v>368</v>
      </c>
      <c r="AJ6" s="68" t="s">
        <v>368</v>
      </c>
      <c r="AK6" s="68" t="s">
        <v>368</v>
      </c>
      <c r="AL6" s="68" t="s">
        <v>368</v>
      </c>
      <c r="AM6" s="68" t="s">
        <v>368</v>
      </c>
      <c r="AN6" s="68" t="s">
        <v>368</v>
      </c>
      <c r="AO6" s="68" t="s">
        <v>368</v>
      </c>
      <c r="AP6" s="68" t="s">
        <v>368</v>
      </c>
      <c r="AQ6" s="68" t="s">
        <v>368</v>
      </c>
      <c r="AR6" s="68" t="s">
        <v>368</v>
      </c>
      <c r="AS6" s="68" t="s">
        <v>368</v>
      </c>
      <c r="AT6" s="68" t="s">
        <v>368</v>
      </c>
    </row>
    <row r="7" spans="1:46">
      <c r="B7" s="35" t="s">
        <v>13</v>
      </c>
      <c r="C7" s="35" t="s">
        <v>347</v>
      </c>
      <c r="E7" s="38"/>
      <c r="F7" s="38">
        <v>6.8000000000000005E-2</v>
      </c>
      <c r="G7" s="38">
        <v>0.19600000000000001</v>
      </c>
      <c r="I7" s="69" t="s">
        <v>347</v>
      </c>
      <c r="J7" s="37">
        <v>1</v>
      </c>
      <c r="K7" s="37">
        <v>1</v>
      </c>
      <c r="L7" s="37" t="s">
        <v>368</v>
      </c>
      <c r="M7" s="37" t="s">
        <v>368</v>
      </c>
      <c r="N7" s="37" t="s">
        <v>368</v>
      </c>
      <c r="O7" s="37" t="s">
        <v>368</v>
      </c>
      <c r="P7" s="37" t="s">
        <v>368</v>
      </c>
      <c r="Q7" s="37" t="s">
        <v>368</v>
      </c>
      <c r="R7" s="37" t="s">
        <v>368</v>
      </c>
      <c r="S7" s="37" t="s">
        <v>368</v>
      </c>
      <c r="T7" s="37" t="s">
        <v>368</v>
      </c>
      <c r="U7" s="37" t="s">
        <v>368</v>
      </c>
      <c r="V7" s="37" t="s">
        <v>368</v>
      </c>
      <c r="W7" s="37" t="s">
        <v>368</v>
      </c>
      <c r="X7" s="37" t="s">
        <v>368</v>
      </c>
      <c r="Y7" s="37" t="s">
        <v>368</v>
      </c>
      <c r="Z7" s="37" t="s">
        <v>368</v>
      </c>
      <c r="AA7" s="37" t="s">
        <v>368</v>
      </c>
      <c r="AB7" s="37" t="s">
        <v>368</v>
      </c>
      <c r="AC7" s="37" t="s">
        <v>368</v>
      </c>
      <c r="AD7" s="68" t="s">
        <v>368</v>
      </c>
      <c r="AE7" s="68" t="s">
        <v>368</v>
      </c>
      <c r="AF7" s="68" t="s">
        <v>368</v>
      </c>
      <c r="AG7" s="68" t="s">
        <v>368</v>
      </c>
      <c r="AH7" s="68" t="s">
        <v>368</v>
      </c>
      <c r="AI7" s="68" t="s">
        <v>368</v>
      </c>
      <c r="AJ7" s="68" t="s">
        <v>368</v>
      </c>
      <c r="AK7" s="68" t="s">
        <v>368</v>
      </c>
      <c r="AL7" s="68" t="s">
        <v>368</v>
      </c>
      <c r="AM7" s="68" t="s">
        <v>368</v>
      </c>
      <c r="AN7" s="68" t="s">
        <v>368</v>
      </c>
      <c r="AO7" s="68" t="s">
        <v>368</v>
      </c>
      <c r="AP7" s="68" t="s">
        <v>368</v>
      </c>
      <c r="AQ7" s="68" t="s">
        <v>368</v>
      </c>
      <c r="AR7" s="68" t="s">
        <v>368</v>
      </c>
      <c r="AS7" s="68" t="s">
        <v>368</v>
      </c>
      <c r="AT7" s="68" t="s">
        <v>368</v>
      </c>
    </row>
    <row r="8" spans="1:46">
      <c r="B8" s="35" t="s">
        <v>13</v>
      </c>
      <c r="C8" s="35" t="s">
        <v>348</v>
      </c>
      <c r="E8" s="38"/>
      <c r="F8" s="38">
        <v>5.2999999999999999E-2</v>
      </c>
      <c r="G8" s="38">
        <v>0.17399999999999999</v>
      </c>
      <c r="I8" s="69" t="s">
        <v>348</v>
      </c>
      <c r="J8" s="37">
        <v>1</v>
      </c>
      <c r="K8" s="37">
        <v>1</v>
      </c>
      <c r="L8" s="37">
        <v>1</v>
      </c>
      <c r="M8" s="37" t="s">
        <v>368</v>
      </c>
      <c r="N8" s="37" t="s">
        <v>368</v>
      </c>
      <c r="O8" s="37" t="s">
        <v>368</v>
      </c>
      <c r="P8" s="37" t="s">
        <v>368</v>
      </c>
      <c r="Q8" s="37" t="s">
        <v>368</v>
      </c>
      <c r="R8" s="37" t="s">
        <v>368</v>
      </c>
      <c r="S8" s="37" t="s">
        <v>368</v>
      </c>
      <c r="T8" s="37" t="s">
        <v>368</v>
      </c>
      <c r="U8" s="37" t="s">
        <v>368</v>
      </c>
      <c r="V8" s="37" t="s">
        <v>368</v>
      </c>
      <c r="W8" s="37" t="s">
        <v>368</v>
      </c>
      <c r="X8" s="37" t="s">
        <v>368</v>
      </c>
      <c r="Y8" s="37" t="s">
        <v>368</v>
      </c>
      <c r="Z8" s="37" t="s">
        <v>368</v>
      </c>
      <c r="AA8" s="37" t="s">
        <v>368</v>
      </c>
      <c r="AB8" s="37" t="s">
        <v>368</v>
      </c>
      <c r="AC8" s="37" t="s">
        <v>368</v>
      </c>
      <c r="AD8" s="68" t="s">
        <v>368</v>
      </c>
      <c r="AE8" s="68" t="s">
        <v>368</v>
      </c>
      <c r="AF8" s="68" t="s">
        <v>368</v>
      </c>
      <c r="AG8" s="68" t="s">
        <v>368</v>
      </c>
      <c r="AH8" s="68" t="s">
        <v>368</v>
      </c>
      <c r="AI8" s="68" t="s">
        <v>368</v>
      </c>
      <c r="AJ8" s="68" t="s">
        <v>368</v>
      </c>
      <c r="AK8" s="68" t="s">
        <v>368</v>
      </c>
      <c r="AL8" s="68" t="s">
        <v>368</v>
      </c>
      <c r="AM8" s="68" t="s">
        <v>368</v>
      </c>
      <c r="AN8" s="68" t="s">
        <v>368</v>
      </c>
      <c r="AO8" s="68" t="s">
        <v>368</v>
      </c>
      <c r="AP8" s="68" t="s">
        <v>368</v>
      </c>
      <c r="AQ8" s="68" t="s">
        <v>368</v>
      </c>
      <c r="AR8" s="68" t="s">
        <v>368</v>
      </c>
      <c r="AS8" s="68" t="s">
        <v>368</v>
      </c>
      <c r="AT8" s="68" t="s">
        <v>368</v>
      </c>
    </row>
    <row r="9" spans="1:46">
      <c r="B9" s="35" t="s">
        <v>13</v>
      </c>
      <c r="C9" s="35" t="s">
        <v>114</v>
      </c>
      <c r="E9" s="38"/>
      <c r="F9" s="38">
        <v>6.8000000000000005E-2</v>
      </c>
      <c r="G9" s="38">
        <v>0.19</v>
      </c>
      <c r="I9" s="69" t="s">
        <v>114</v>
      </c>
      <c r="J9" s="37">
        <v>1</v>
      </c>
      <c r="K9" s="37">
        <v>1</v>
      </c>
      <c r="L9" s="37">
        <v>1</v>
      </c>
      <c r="M9" s="37">
        <v>1</v>
      </c>
      <c r="N9" s="37" t="s">
        <v>368</v>
      </c>
      <c r="O9" s="37" t="s">
        <v>368</v>
      </c>
      <c r="P9" s="37" t="s">
        <v>368</v>
      </c>
      <c r="Q9" s="37" t="s">
        <v>368</v>
      </c>
      <c r="R9" s="37" t="s">
        <v>368</v>
      </c>
      <c r="S9" s="37" t="s">
        <v>368</v>
      </c>
      <c r="T9" s="37" t="s">
        <v>368</v>
      </c>
      <c r="U9" s="37" t="s">
        <v>368</v>
      </c>
      <c r="V9" s="37" t="s">
        <v>368</v>
      </c>
      <c r="W9" s="37" t="s">
        <v>368</v>
      </c>
      <c r="X9" s="37" t="s">
        <v>368</v>
      </c>
      <c r="Y9" s="37" t="s">
        <v>368</v>
      </c>
      <c r="Z9" s="37" t="s">
        <v>368</v>
      </c>
      <c r="AA9" s="37" t="s">
        <v>368</v>
      </c>
      <c r="AB9" s="37" t="s">
        <v>368</v>
      </c>
      <c r="AC9" s="37" t="s">
        <v>368</v>
      </c>
      <c r="AD9" s="68" t="s">
        <v>368</v>
      </c>
      <c r="AE9" s="68" t="s">
        <v>368</v>
      </c>
      <c r="AF9" s="68" t="s">
        <v>368</v>
      </c>
      <c r="AG9" s="68" t="s">
        <v>368</v>
      </c>
      <c r="AH9" s="68" t="s">
        <v>368</v>
      </c>
      <c r="AI9" s="68" t="s">
        <v>368</v>
      </c>
      <c r="AJ9" s="68" t="s">
        <v>368</v>
      </c>
      <c r="AK9" s="68" t="s">
        <v>368</v>
      </c>
      <c r="AL9" s="68" t="s">
        <v>368</v>
      </c>
      <c r="AM9" s="68" t="s">
        <v>368</v>
      </c>
      <c r="AN9" s="68" t="s">
        <v>368</v>
      </c>
      <c r="AO9" s="68" t="s">
        <v>368</v>
      </c>
      <c r="AP9" s="68" t="s">
        <v>368</v>
      </c>
      <c r="AQ9" s="68" t="s">
        <v>368</v>
      </c>
      <c r="AR9" s="68" t="s">
        <v>368</v>
      </c>
      <c r="AS9" s="68" t="s">
        <v>368</v>
      </c>
      <c r="AT9" s="68" t="s">
        <v>368</v>
      </c>
    </row>
    <row r="10" spans="1:46">
      <c r="B10" s="35" t="s">
        <v>13</v>
      </c>
      <c r="C10" s="35" t="s">
        <v>109</v>
      </c>
      <c r="E10" s="38"/>
      <c r="F10" s="38">
        <v>4.7E-2</v>
      </c>
      <c r="G10" s="38">
        <v>0.16899999999999998</v>
      </c>
      <c r="I10" s="69" t="s">
        <v>109</v>
      </c>
      <c r="J10" s="37">
        <v>1</v>
      </c>
      <c r="K10" s="37">
        <v>0.9</v>
      </c>
      <c r="L10" s="37">
        <v>1</v>
      </c>
      <c r="M10" s="37">
        <v>0.9</v>
      </c>
      <c r="N10" s="37">
        <v>1</v>
      </c>
      <c r="O10" s="37" t="s">
        <v>368</v>
      </c>
      <c r="P10" s="37" t="s">
        <v>368</v>
      </c>
      <c r="Q10" s="37" t="s">
        <v>368</v>
      </c>
      <c r="R10" s="37" t="s">
        <v>368</v>
      </c>
      <c r="S10" s="37" t="s">
        <v>368</v>
      </c>
      <c r="T10" s="37" t="s">
        <v>368</v>
      </c>
      <c r="U10" s="37" t="s">
        <v>368</v>
      </c>
      <c r="V10" s="37" t="s">
        <v>368</v>
      </c>
      <c r="W10" s="37" t="s">
        <v>368</v>
      </c>
      <c r="X10" s="37" t="s">
        <v>368</v>
      </c>
      <c r="Y10" s="37" t="s">
        <v>368</v>
      </c>
      <c r="Z10" s="37" t="s">
        <v>368</v>
      </c>
      <c r="AA10" s="37" t="s">
        <v>368</v>
      </c>
      <c r="AB10" s="37" t="s">
        <v>368</v>
      </c>
      <c r="AC10" s="37" t="s">
        <v>368</v>
      </c>
      <c r="AD10" s="68" t="s">
        <v>368</v>
      </c>
      <c r="AE10" s="68" t="s">
        <v>368</v>
      </c>
      <c r="AF10" s="68" t="s">
        <v>368</v>
      </c>
      <c r="AG10" s="68" t="s">
        <v>368</v>
      </c>
      <c r="AH10" s="68" t="s">
        <v>368</v>
      </c>
      <c r="AI10" s="68" t="s">
        <v>368</v>
      </c>
      <c r="AJ10" s="68" t="s">
        <v>368</v>
      </c>
      <c r="AK10" s="68" t="s">
        <v>368</v>
      </c>
      <c r="AL10" s="68" t="s">
        <v>368</v>
      </c>
      <c r="AM10" s="68" t="s">
        <v>368</v>
      </c>
      <c r="AN10" s="68" t="s">
        <v>368</v>
      </c>
      <c r="AO10" s="68" t="s">
        <v>368</v>
      </c>
      <c r="AP10" s="68" t="s">
        <v>368</v>
      </c>
      <c r="AQ10" s="68" t="s">
        <v>368</v>
      </c>
      <c r="AR10" s="68" t="s">
        <v>368</v>
      </c>
      <c r="AS10" s="68" t="s">
        <v>368</v>
      </c>
      <c r="AT10" s="68" t="s">
        <v>368</v>
      </c>
    </row>
    <row r="11" spans="1:46">
      <c r="B11" s="35" t="s">
        <v>13</v>
      </c>
      <c r="C11" s="35" t="s">
        <v>349</v>
      </c>
      <c r="E11" s="38"/>
      <c r="F11" s="38">
        <v>5.2000000000000005E-2</v>
      </c>
      <c r="G11" s="38">
        <v>0.223</v>
      </c>
      <c r="I11" s="69" t="s">
        <v>349</v>
      </c>
      <c r="J11" s="37">
        <v>0.9</v>
      </c>
      <c r="K11" s="37">
        <v>0.8</v>
      </c>
      <c r="L11" s="37">
        <v>0.9</v>
      </c>
      <c r="M11" s="37">
        <v>0.9</v>
      </c>
      <c r="N11" s="37">
        <v>0.9</v>
      </c>
      <c r="O11" s="37">
        <v>1</v>
      </c>
      <c r="P11" s="37" t="s">
        <v>368</v>
      </c>
      <c r="Q11" s="37" t="s">
        <v>368</v>
      </c>
      <c r="R11" s="37" t="s">
        <v>368</v>
      </c>
      <c r="S11" s="37" t="s">
        <v>368</v>
      </c>
      <c r="T11" s="37" t="s">
        <v>368</v>
      </c>
      <c r="U11" s="37" t="s">
        <v>368</v>
      </c>
      <c r="V11" s="37" t="s">
        <v>368</v>
      </c>
      <c r="W11" s="37" t="s">
        <v>368</v>
      </c>
      <c r="X11" s="37" t="s">
        <v>368</v>
      </c>
      <c r="Y11" s="37" t="s">
        <v>368</v>
      </c>
      <c r="Z11" s="37" t="s">
        <v>368</v>
      </c>
      <c r="AA11" s="37" t="s">
        <v>368</v>
      </c>
      <c r="AB11" s="37" t="s">
        <v>368</v>
      </c>
      <c r="AC11" s="37" t="s">
        <v>368</v>
      </c>
      <c r="AD11" s="68" t="s">
        <v>368</v>
      </c>
      <c r="AE11" s="68" t="s">
        <v>368</v>
      </c>
      <c r="AF11" s="68" t="s">
        <v>368</v>
      </c>
      <c r="AG11" s="68" t="s">
        <v>368</v>
      </c>
      <c r="AH11" s="68" t="s">
        <v>368</v>
      </c>
      <c r="AI11" s="68" t="s">
        <v>368</v>
      </c>
      <c r="AJ11" s="68" t="s">
        <v>368</v>
      </c>
      <c r="AK11" s="68" t="s">
        <v>368</v>
      </c>
      <c r="AL11" s="68" t="s">
        <v>368</v>
      </c>
      <c r="AM11" s="68" t="s">
        <v>368</v>
      </c>
      <c r="AN11" s="68" t="s">
        <v>368</v>
      </c>
      <c r="AO11" s="68" t="s">
        <v>368</v>
      </c>
      <c r="AP11" s="68" t="s">
        <v>368</v>
      </c>
      <c r="AQ11" s="68" t="s">
        <v>368</v>
      </c>
      <c r="AR11" s="68" t="s">
        <v>368</v>
      </c>
      <c r="AS11" s="68" t="s">
        <v>368</v>
      </c>
      <c r="AT11" s="68" t="s">
        <v>368</v>
      </c>
    </row>
    <row r="12" spans="1:46">
      <c r="B12" s="35" t="s">
        <v>13</v>
      </c>
      <c r="C12" s="35" t="s">
        <v>350</v>
      </c>
      <c r="E12" s="38"/>
      <c r="F12" s="38">
        <v>6.0999999999999999E-2</v>
      </c>
      <c r="G12" s="38">
        <v>0.20399999999999999</v>
      </c>
      <c r="I12" s="69" t="s">
        <v>350</v>
      </c>
      <c r="J12" s="37">
        <v>1</v>
      </c>
      <c r="K12" s="37">
        <v>1</v>
      </c>
      <c r="L12" s="37">
        <v>1</v>
      </c>
      <c r="M12" s="37">
        <v>1</v>
      </c>
      <c r="N12" s="37">
        <v>0.9</v>
      </c>
      <c r="O12" s="37">
        <v>0.8</v>
      </c>
      <c r="P12" s="37">
        <v>1</v>
      </c>
      <c r="Q12" s="37" t="s">
        <v>368</v>
      </c>
      <c r="R12" s="37" t="s">
        <v>368</v>
      </c>
      <c r="S12" s="37" t="s">
        <v>368</v>
      </c>
      <c r="T12" s="37" t="s">
        <v>368</v>
      </c>
      <c r="U12" s="37" t="s">
        <v>368</v>
      </c>
      <c r="V12" s="37" t="s">
        <v>368</v>
      </c>
      <c r="W12" s="37" t="s">
        <v>368</v>
      </c>
      <c r="X12" s="37" t="s">
        <v>368</v>
      </c>
      <c r="Y12" s="37" t="s">
        <v>368</v>
      </c>
      <c r="Z12" s="37" t="s">
        <v>368</v>
      </c>
      <c r="AA12" s="37" t="s">
        <v>368</v>
      </c>
      <c r="AB12" s="37" t="s">
        <v>368</v>
      </c>
      <c r="AC12" s="37" t="s">
        <v>368</v>
      </c>
      <c r="AD12" s="68" t="s">
        <v>368</v>
      </c>
      <c r="AE12" s="68" t="s">
        <v>368</v>
      </c>
      <c r="AF12" s="68" t="s">
        <v>368</v>
      </c>
      <c r="AG12" s="68" t="s">
        <v>368</v>
      </c>
      <c r="AH12" s="68" t="s">
        <v>368</v>
      </c>
      <c r="AI12" s="68" t="s">
        <v>368</v>
      </c>
      <c r="AJ12" s="68" t="s">
        <v>368</v>
      </c>
      <c r="AK12" s="68" t="s">
        <v>368</v>
      </c>
      <c r="AL12" s="68" t="s">
        <v>368</v>
      </c>
      <c r="AM12" s="68" t="s">
        <v>368</v>
      </c>
      <c r="AN12" s="68" t="s">
        <v>368</v>
      </c>
      <c r="AO12" s="68" t="s">
        <v>368</v>
      </c>
      <c r="AP12" s="68" t="s">
        <v>368</v>
      </c>
      <c r="AQ12" s="68" t="s">
        <v>368</v>
      </c>
      <c r="AR12" s="68" t="s">
        <v>368</v>
      </c>
      <c r="AS12" s="68" t="s">
        <v>368</v>
      </c>
      <c r="AT12" s="68" t="s">
        <v>368</v>
      </c>
    </row>
    <row r="13" spans="1:46">
      <c r="B13" s="35" t="s">
        <v>13</v>
      </c>
      <c r="C13" s="35" t="s">
        <v>351</v>
      </c>
      <c r="E13" s="38"/>
      <c r="F13" s="38">
        <v>6.7000000000000004E-2</v>
      </c>
      <c r="G13" s="38">
        <v>0.21600000000000003</v>
      </c>
      <c r="I13" s="69" t="s">
        <v>351</v>
      </c>
      <c r="J13" s="37">
        <v>0.9</v>
      </c>
      <c r="K13" s="37">
        <v>0.9</v>
      </c>
      <c r="L13" s="37">
        <v>0.9</v>
      </c>
      <c r="M13" s="37">
        <v>0.9</v>
      </c>
      <c r="N13" s="37">
        <v>0.8</v>
      </c>
      <c r="O13" s="37">
        <v>0.7</v>
      </c>
      <c r="P13" s="37">
        <v>0.9</v>
      </c>
      <c r="Q13" s="37">
        <v>1</v>
      </c>
      <c r="R13" s="37" t="s">
        <v>368</v>
      </c>
      <c r="S13" s="37" t="s">
        <v>368</v>
      </c>
      <c r="T13" s="37" t="s">
        <v>368</v>
      </c>
      <c r="U13" s="37" t="s">
        <v>368</v>
      </c>
      <c r="V13" s="37" t="s">
        <v>368</v>
      </c>
      <c r="W13" s="37" t="s">
        <v>368</v>
      </c>
      <c r="X13" s="37" t="s">
        <v>368</v>
      </c>
      <c r="Y13" s="37" t="s">
        <v>368</v>
      </c>
      <c r="Z13" s="37" t="s">
        <v>368</v>
      </c>
      <c r="AA13" s="37" t="s">
        <v>368</v>
      </c>
      <c r="AB13" s="37" t="s">
        <v>368</v>
      </c>
      <c r="AC13" s="37" t="s">
        <v>368</v>
      </c>
      <c r="AD13" s="68" t="s">
        <v>368</v>
      </c>
      <c r="AE13" s="68" t="s">
        <v>368</v>
      </c>
      <c r="AF13" s="68" t="s">
        <v>368</v>
      </c>
      <c r="AG13" s="68" t="s">
        <v>368</v>
      </c>
      <c r="AH13" s="68" t="s">
        <v>368</v>
      </c>
      <c r="AI13" s="68" t="s">
        <v>368</v>
      </c>
      <c r="AJ13" s="68" t="s">
        <v>368</v>
      </c>
      <c r="AK13" s="68" t="s">
        <v>368</v>
      </c>
      <c r="AL13" s="68" t="s">
        <v>368</v>
      </c>
      <c r="AM13" s="68" t="s">
        <v>368</v>
      </c>
      <c r="AN13" s="68" t="s">
        <v>368</v>
      </c>
      <c r="AO13" s="68" t="s">
        <v>368</v>
      </c>
      <c r="AP13" s="68" t="s">
        <v>368</v>
      </c>
      <c r="AQ13" s="68" t="s">
        <v>368</v>
      </c>
      <c r="AR13" s="68" t="s">
        <v>368</v>
      </c>
      <c r="AS13" s="68" t="s">
        <v>368</v>
      </c>
      <c r="AT13" s="68" t="s">
        <v>368</v>
      </c>
    </row>
    <row r="14" spans="1:46">
      <c r="B14" s="35" t="s">
        <v>13</v>
      </c>
      <c r="C14" s="35" t="s">
        <v>352</v>
      </c>
      <c r="E14" s="38"/>
      <c r="F14" s="38">
        <v>6.9000000000000006E-2</v>
      </c>
      <c r="G14" s="38">
        <v>0.16600000000000001</v>
      </c>
      <c r="I14" s="69" t="s">
        <v>352</v>
      </c>
      <c r="J14" s="37">
        <v>0.8</v>
      </c>
      <c r="K14" s="37">
        <v>0.8</v>
      </c>
      <c r="L14" s="37">
        <v>0.8</v>
      </c>
      <c r="M14" s="37">
        <v>0.8</v>
      </c>
      <c r="N14" s="37">
        <v>0.7</v>
      </c>
      <c r="O14" s="37">
        <v>0.7</v>
      </c>
      <c r="P14" s="37">
        <v>0.8</v>
      </c>
      <c r="Q14" s="37">
        <v>0.7</v>
      </c>
      <c r="R14" s="37">
        <v>1</v>
      </c>
      <c r="S14" s="37" t="s">
        <v>368</v>
      </c>
      <c r="T14" s="37" t="s">
        <v>368</v>
      </c>
      <c r="U14" s="37" t="s">
        <v>368</v>
      </c>
      <c r="V14" s="37" t="s">
        <v>368</v>
      </c>
      <c r="W14" s="37" t="s">
        <v>368</v>
      </c>
      <c r="X14" s="37" t="s">
        <v>368</v>
      </c>
      <c r="Y14" s="37" t="s">
        <v>368</v>
      </c>
      <c r="Z14" s="37" t="s">
        <v>368</v>
      </c>
      <c r="AA14" s="37" t="s">
        <v>368</v>
      </c>
      <c r="AB14" s="37" t="s">
        <v>368</v>
      </c>
      <c r="AC14" s="37" t="s">
        <v>368</v>
      </c>
      <c r="AD14" s="68" t="s">
        <v>368</v>
      </c>
      <c r="AE14" s="68" t="s">
        <v>368</v>
      </c>
      <c r="AF14" s="68" t="s">
        <v>368</v>
      </c>
      <c r="AG14" s="68" t="s">
        <v>368</v>
      </c>
      <c r="AH14" s="68" t="s">
        <v>368</v>
      </c>
      <c r="AI14" s="68" t="s">
        <v>368</v>
      </c>
      <c r="AJ14" s="68" t="s">
        <v>368</v>
      </c>
      <c r="AK14" s="68" t="s">
        <v>368</v>
      </c>
      <c r="AL14" s="68" t="s">
        <v>368</v>
      </c>
      <c r="AM14" s="68" t="s">
        <v>368</v>
      </c>
      <c r="AN14" s="68" t="s">
        <v>368</v>
      </c>
      <c r="AO14" s="68" t="s">
        <v>368</v>
      </c>
      <c r="AP14" s="68" t="s">
        <v>368</v>
      </c>
      <c r="AQ14" s="68" t="s">
        <v>368</v>
      </c>
      <c r="AR14" s="68" t="s">
        <v>368</v>
      </c>
      <c r="AS14" s="68" t="s">
        <v>368</v>
      </c>
      <c r="AT14" s="68" t="s">
        <v>368</v>
      </c>
    </row>
    <row r="15" spans="1:46">
      <c r="B15" s="35" t="s">
        <v>13</v>
      </c>
      <c r="C15" s="35" t="s">
        <v>63</v>
      </c>
      <c r="E15" s="38"/>
      <c r="F15" s="38">
        <v>7.2000000000000008E-2</v>
      </c>
      <c r="G15" s="38">
        <v>0.23300000000000001</v>
      </c>
      <c r="I15" s="69" t="s">
        <v>63</v>
      </c>
      <c r="J15" s="37">
        <v>0.9</v>
      </c>
      <c r="K15" s="37">
        <v>1</v>
      </c>
      <c r="L15" s="37">
        <v>0.9</v>
      </c>
      <c r="M15" s="37">
        <v>0.9</v>
      </c>
      <c r="N15" s="37">
        <v>0.8</v>
      </c>
      <c r="O15" s="37">
        <v>0.7</v>
      </c>
      <c r="P15" s="37">
        <v>0.9</v>
      </c>
      <c r="Q15" s="37">
        <v>1</v>
      </c>
      <c r="R15" s="37">
        <v>0.7</v>
      </c>
      <c r="S15" s="37">
        <v>1</v>
      </c>
      <c r="T15" s="37" t="s">
        <v>368</v>
      </c>
      <c r="U15" s="37" t="s">
        <v>368</v>
      </c>
      <c r="V15" s="37" t="s">
        <v>368</v>
      </c>
      <c r="W15" s="37" t="s">
        <v>368</v>
      </c>
      <c r="X15" s="37" t="s">
        <v>368</v>
      </c>
      <c r="Y15" s="37" t="s">
        <v>368</v>
      </c>
      <c r="Z15" s="37" t="s">
        <v>368</v>
      </c>
      <c r="AA15" s="37" t="s">
        <v>368</v>
      </c>
      <c r="AB15" s="37" t="s">
        <v>368</v>
      </c>
      <c r="AC15" s="37" t="s">
        <v>368</v>
      </c>
      <c r="AD15" s="68" t="s">
        <v>368</v>
      </c>
      <c r="AE15" s="68" t="s">
        <v>368</v>
      </c>
      <c r="AF15" s="68" t="s">
        <v>368</v>
      </c>
      <c r="AG15" s="68" t="s">
        <v>368</v>
      </c>
      <c r="AH15" s="68" t="s">
        <v>368</v>
      </c>
      <c r="AI15" s="68" t="s">
        <v>368</v>
      </c>
      <c r="AJ15" s="68" t="s">
        <v>368</v>
      </c>
      <c r="AK15" s="68" t="s">
        <v>368</v>
      </c>
      <c r="AL15" s="68" t="s">
        <v>368</v>
      </c>
      <c r="AM15" s="68" t="s">
        <v>368</v>
      </c>
      <c r="AN15" s="68" t="s">
        <v>368</v>
      </c>
      <c r="AO15" s="68" t="s">
        <v>368</v>
      </c>
      <c r="AP15" s="68" t="s">
        <v>368</v>
      </c>
      <c r="AQ15" s="68" t="s">
        <v>368</v>
      </c>
      <c r="AR15" s="68" t="s">
        <v>368</v>
      </c>
      <c r="AS15" s="68" t="s">
        <v>368</v>
      </c>
      <c r="AT15" s="68" t="s">
        <v>368</v>
      </c>
    </row>
    <row r="16" spans="1:46">
      <c r="B16" s="35" t="s">
        <v>13</v>
      </c>
      <c r="C16" s="35" t="s">
        <v>353</v>
      </c>
      <c r="E16" s="38"/>
      <c r="F16" s="38">
        <v>4.9000000000000002E-2</v>
      </c>
      <c r="G16" s="38">
        <v>0.22500000000000001</v>
      </c>
      <c r="I16" s="69" t="s">
        <v>353</v>
      </c>
      <c r="J16" s="37">
        <v>0.9</v>
      </c>
      <c r="K16" s="37">
        <v>0.9</v>
      </c>
      <c r="L16" s="37">
        <v>0.9</v>
      </c>
      <c r="M16" s="37">
        <v>0.9</v>
      </c>
      <c r="N16" s="37">
        <v>0.9</v>
      </c>
      <c r="O16" s="37">
        <v>0.8</v>
      </c>
      <c r="P16" s="37">
        <v>0.9</v>
      </c>
      <c r="Q16" s="37">
        <v>0.8</v>
      </c>
      <c r="R16" s="37">
        <v>0.6</v>
      </c>
      <c r="S16" s="37">
        <v>0.9</v>
      </c>
      <c r="T16" s="37">
        <v>1</v>
      </c>
      <c r="U16" s="37" t="s">
        <v>368</v>
      </c>
      <c r="V16" s="37" t="s">
        <v>368</v>
      </c>
      <c r="W16" s="37" t="s">
        <v>368</v>
      </c>
      <c r="X16" s="37" t="s">
        <v>368</v>
      </c>
      <c r="Y16" s="37" t="s">
        <v>368</v>
      </c>
      <c r="Z16" s="37" t="s">
        <v>368</v>
      </c>
      <c r="AA16" s="37" t="s">
        <v>368</v>
      </c>
      <c r="AB16" s="37" t="s">
        <v>368</v>
      </c>
      <c r="AC16" s="37" t="s">
        <v>368</v>
      </c>
      <c r="AD16" s="68" t="s">
        <v>368</v>
      </c>
      <c r="AE16" s="68" t="s">
        <v>368</v>
      </c>
      <c r="AF16" s="68" t="s">
        <v>368</v>
      </c>
      <c r="AG16" s="68" t="s">
        <v>368</v>
      </c>
      <c r="AH16" s="68" t="s">
        <v>368</v>
      </c>
      <c r="AI16" s="68" t="s">
        <v>368</v>
      </c>
      <c r="AJ16" s="68" t="s">
        <v>368</v>
      </c>
      <c r="AK16" s="68" t="s">
        <v>368</v>
      </c>
      <c r="AL16" s="68" t="s">
        <v>368</v>
      </c>
      <c r="AM16" s="68" t="s">
        <v>368</v>
      </c>
      <c r="AN16" s="68" t="s">
        <v>368</v>
      </c>
      <c r="AO16" s="68" t="s">
        <v>368</v>
      </c>
      <c r="AP16" s="68" t="s">
        <v>368</v>
      </c>
      <c r="AQ16" s="68" t="s">
        <v>368</v>
      </c>
      <c r="AR16" s="68" t="s">
        <v>368</v>
      </c>
      <c r="AS16" s="68" t="s">
        <v>368</v>
      </c>
      <c r="AT16" s="68" t="s">
        <v>368</v>
      </c>
    </row>
    <row r="17" spans="2:46">
      <c r="B17" s="35" t="s">
        <v>17</v>
      </c>
      <c r="C17" s="35" t="s">
        <v>354</v>
      </c>
      <c r="E17" s="38"/>
      <c r="F17" s="38">
        <v>8.0000000000000002E-3</v>
      </c>
      <c r="G17" s="38">
        <v>5.5E-2</v>
      </c>
      <c r="I17" s="69" t="s">
        <v>354</v>
      </c>
      <c r="J17" s="37">
        <v>0.2</v>
      </c>
      <c r="K17" s="37">
        <v>0.3</v>
      </c>
      <c r="L17" s="37">
        <v>0.2</v>
      </c>
      <c r="M17" s="37">
        <v>0.3</v>
      </c>
      <c r="N17" s="37">
        <v>0.1</v>
      </c>
      <c r="O17" s="37">
        <v>0</v>
      </c>
      <c r="P17" s="37">
        <v>0.3</v>
      </c>
      <c r="Q17" s="37">
        <v>0.3</v>
      </c>
      <c r="R17" s="37">
        <v>0.1</v>
      </c>
      <c r="S17" s="37">
        <v>0.3</v>
      </c>
      <c r="T17" s="37">
        <v>0.4</v>
      </c>
      <c r="U17" s="37">
        <v>1</v>
      </c>
      <c r="V17" s="37" t="s">
        <v>368</v>
      </c>
      <c r="W17" s="37" t="s">
        <v>368</v>
      </c>
      <c r="X17" s="37" t="s">
        <v>368</v>
      </c>
      <c r="Y17" s="37" t="s">
        <v>368</v>
      </c>
      <c r="Z17" s="37" t="s">
        <v>368</v>
      </c>
      <c r="AA17" s="37" t="s">
        <v>368</v>
      </c>
      <c r="AB17" s="37" t="s">
        <v>368</v>
      </c>
      <c r="AC17" s="37" t="s">
        <v>368</v>
      </c>
      <c r="AD17" s="68" t="s">
        <v>368</v>
      </c>
      <c r="AE17" s="68" t="s">
        <v>368</v>
      </c>
      <c r="AF17" s="68" t="s">
        <v>368</v>
      </c>
      <c r="AG17" s="68" t="s">
        <v>368</v>
      </c>
      <c r="AH17" s="68" t="s">
        <v>368</v>
      </c>
      <c r="AI17" s="68" t="s">
        <v>368</v>
      </c>
      <c r="AJ17" s="68" t="s">
        <v>368</v>
      </c>
      <c r="AK17" s="68" t="s">
        <v>368</v>
      </c>
      <c r="AL17" s="68" t="s">
        <v>368</v>
      </c>
      <c r="AM17" s="68" t="s">
        <v>368</v>
      </c>
      <c r="AN17" s="68" t="s">
        <v>368</v>
      </c>
      <c r="AO17" s="68" t="s">
        <v>368</v>
      </c>
      <c r="AP17" s="68" t="s">
        <v>368</v>
      </c>
      <c r="AQ17" s="68" t="s">
        <v>368</v>
      </c>
      <c r="AR17" s="68" t="s">
        <v>368</v>
      </c>
      <c r="AS17" s="68" t="s">
        <v>368</v>
      </c>
      <c r="AT17" s="68" t="s">
        <v>368</v>
      </c>
    </row>
    <row r="18" spans="2:46">
      <c r="B18" s="35" t="s">
        <v>17</v>
      </c>
      <c r="C18" s="35" t="s">
        <v>355</v>
      </c>
      <c r="E18" s="38"/>
      <c r="F18" s="38">
        <v>8.0000000000000002E-3</v>
      </c>
      <c r="G18" s="38">
        <v>2.8999999999999998E-2</v>
      </c>
      <c r="I18" s="69" t="s">
        <v>355</v>
      </c>
      <c r="J18" s="37">
        <v>-0.1</v>
      </c>
      <c r="K18" s="37">
        <v>-0.1</v>
      </c>
      <c r="L18" s="37">
        <v>-0.1</v>
      </c>
      <c r="M18" s="37">
        <v>-0.1</v>
      </c>
      <c r="N18" s="37">
        <v>-0.2</v>
      </c>
      <c r="O18" s="37">
        <v>-0.2</v>
      </c>
      <c r="P18" s="37">
        <v>-0.1</v>
      </c>
      <c r="Q18" s="37">
        <v>0</v>
      </c>
      <c r="R18" s="37">
        <v>-0.2</v>
      </c>
      <c r="S18" s="37">
        <v>-0.1</v>
      </c>
      <c r="T18" s="37">
        <v>0</v>
      </c>
      <c r="U18" s="37">
        <v>0.7</v>
      </c>
      <c r="V18" s="37">
        <v>1</v>
      </c>
      <c r="W18" s="37" t="s">
        <v>368</v>
      </c>
      <c r="X18" s="37" t="s">
        <v>368</v>
      </c>
      <c r="Y18" s="37" t="s">
        <v>368</v>
      </c>
      <c r="Z18" s="37" t="s">
        <v>368</v>
      </c>
      <c r="AA18" s="37" t="s">
        <v>368</v>
      </c>
      <c r="AB18" s="37" t="s">
        <v>368</v>
      </c>
      <c r="AC18" s="37" t="s">
        <v>368</v>
      </c>
      <c r="AD18" s="68" t="s">
        <v>368</v>
      </c>
      <c r="AE18" s="68" t="s">
        <v>368</v>
      </c>
      <c r="AF18" s="68" t="s">
        <v>368</v>
      </c>
      <c r="AG18" s="68" t="s">
        <v>368</v>
      </c>
      <c r="AH18" s="68" t="s">
        <v>368</v>
      </c>
      <c r="AI18" s="68" t="s">
        <v>368</v>
      </c>
      <c r="AJ18" s="68" t="s">
        <v>368</v>
      </c>
      <c r="AK18" s="68" t="s">
        <v>368</v>
      </c>
      <c r="AL18" s="68" t="s">
        <v>368</v>
      </c>
      <c r="AM18" s="68" t="s">
        <v>368</v>
      </c>
      <c r="AN18" s="68" t="s">
        <v>368</v>
      </c>
      <c r="AO18" s="68" t="s">
        <v>368</v>
      </c>
      <c r="AP18" s="68" t="s">
        <v>368</v>
      </c>
      <c r="AQ18" s="68" t="s">
        <v>368</v>
      </c>
      <c r="AR18" s="68" t="s">
        <v>368</v>
      </c>
      <c r="AS18" s="68" t="s">
        <v>368</v>
      </c>
      <c r="AT18" s="68" t="s">
        <v>368</v>
      </c>
    </row>
    <row r="19" spans="2:46">
      <c r="B19" s="35" t="s">
        <v>17</v>
      </c>
      <c r="C19" s="35" t="s">
        <v>356</v>
      </c>
      <c r="E19" s="38"/>
      <c r="F19" s="38">
        <v>1.1000000000000001E-2</v>
      </c>
      <c r="G19" s="38">
        <v>0.08</v>
      </c>
      <c r="I19" s="69" t="s">
        <v>356</v>
      </c>
      <c r="J19" s="37">
        <v>0.3</v>
      </c>
      <c r="K19" s="37">
        <v>0.4</v>
      </c>
      <c r="L19" s="37">
        <v>0.3</v>
      </c>
      <c r="M19" s="37">
        <v>0.4</v>
      </c>
      <c r="N19" s="37">
        <v>0.2</v>
      </c>
      <c r="O19" s="37">
        <v>0.1</v>
      </c>
      <c r="P19" s="37">
        <v>0.4</v>
      </c>
      <c r="Q19" s="37">
        <v>0.4</v>
      </c>
      <c r="R19" s="37">
        <v>0.1</v>
      </c>
      <c r="S19" s="37">
        <v>0.4</v>
      </c>
      <c r="T19" s="37">
        <v>0.5</v>
      </c>
      <c r="U19" s="37">
        <v>1</v>
      </c>
      <c r="V19" s="37">
        <v>0.5</v>
      </c>
      <c r="W19" s="37">
        <v>1</v>
      </c>
      <c r="X19" s="37" t="s">
        <v>368</v>
      </c>
      <c r="Y19" s="37" t="s">
        <v>368</v>
      </c>
      <c r="Z19" s="37" t="s">
        <v>368</v>
      </c>
      <c r="AA19" s="37" t="s">
        <v>368</v>
      </c>
      <c r="AB19" s="37" t="s">
        <v>368</v>
      </c>
      <c r="AC19" s="37" t="s">
        <v>368</v>
      </c>
      <c r="AD19" s="68" t="s">
        <v>368</v>
      </c>
      <c r="AE19" s="68" t="s">
        <v>368</v>
      </c>
      <c r="AF19" s="68" t="s">
        <v>368</v>
      </c>
      <c r="AG19" s="68" t="s">
        <v>368</v>
      </c>
      <c r="AH19" s="68" t="s">
        <v>368</v>
      </c>
      <c r="AI19" s="68" t="s">
        <v>368</v>
      </c>
      <c r="AJ19" s="68" t="s">
        <v>368</v>
      </c>
      <c r="AK19" s="68" t="s">
        <v>368</v>
      </c>
      <c r="AL19" s="68" t="s">
        <v>368</v>
      </c>
      <c r="AM19" s="68" t="s">
        <v>368</v>
      </c>
      <c r="AN19" s="68" t="s">
        <v>368</v>
      </c>
      <c r="AO19" s="68" t="s">
        <v>368</v>
      </c>
      <c r="AP19" s="68" t="s">
        <v>368</v>
      </c>
      <c r="AQ19" s="68" t="s">
        <v>368</v>
      </c>
      <c r="AR19" s="68" t="s">
        <v>368</v>
      </c>
      <c r="AS19" s="68" t="s">
        <v>368</v>
      </c>
      <c r="AT19" s="68" t="s">
        <v>368</v>
      </c>
    </row>
    <row r="20" spans="2:46">
      <c r="B20" s="35" t="s">
        <v>17</v>
      </c>
      <c r="C20" s="35" t="s">
        <v>357</v>
      </c>
      <c r="E20" s="38"/>
      <c r="F20" s="38">
        <v>1.2E-2</v>
      </c>
      <c r="G20" s="38">
        <v>2.7999999999999997E-2</v>
      </c>
      <c r="I20" s="69" t="s">
        <v>357</v>
      </c>
      <c r="J20" s="37">
        <v>-0.1</v>
      </c>
      <c r="K20" s="37">
        <v>-0.1</v>
      </c>
      <c r="L20" s="37">
        <v>-0.1</v>
      </c>
      <c r="M20" s="37">
        <v>-0.1</v>
      </c>
      <c r="N20" s="37">
        <v>-0.1</v>
      </c>
      <c r="O20" s="37">
        <v>-0.2</v>
      </c>
      <c r="P20" s="37">
        <v>-0.1</v>
      </c>
      <c r="Q20" s="37">
        <v>-0.1</v>
      </c>
      <c r="R20" s="37">
        <v>-0.2</v>
      </c>
      <c r="S20" s="37">
        <v>-0.1</v>
      </c>
      <c r="T20" s="37">
        <v>0</v>
      </c>
      <c r="U20" s="37">
        <v>0.6</v>
      </c>
      <c r="V20" s="37">
        <v>1</v>
      </c>
      <c r="W20" s="37">
        <v>0.4</v>
      </c>
      <c r="X20" s="37">
        <v>1</v>
      </c>
      <c r="Y20" s="37" t="s">
        <v>368</v>
      </c>
      <c r="Z20" s="37" t="s">
        <v>368</v>
      </c>
      <c r="AA20" s="37" t="s">
        <v>368</v>
      </c>
      <c r="AB20" s="37" t="s">
        <v>368</v>
      </c>
      <c r="AC20" s="37" t="s">
        <v>368</v>
      </c>
      <c r="AD20" s="68" t="s">
        <v>368</v>
      </c>
      <c r="AE20" s="68" t="s">
        <v>368</v>
      </c>
      <c r="AF20" s="68" t="s">
        <v>368</v>
      </c>
      <c r="AG20" s="68" t="s">
        <v>368</v>
      </c>
      <c r="AH20" s="68" t="s">
        <v>368</v>
      </c>
      <c r="AI20" s="68" t="s">
        <v>368</v>
      </c>
      <c r="AJ20" s="68" t="s">
        <v>368</v>
      </c>
      <c r="AK20" s="68" t="s">
        <v>368</v>
      </c>
      <c r="AL20" s="68" t="s">
        <v>368</v>
      </c>
      <c r="AM20" s="68" t="s">
        <v>368</v>
      </c>
      <c r="AN20" s="68" t="s">
        <v>368</v>
      </c>
      <c r="AO20" s="68" t="s">
        <v>368</v>
      </c>
      <c r="AP20" s="68" t="s">
        <v>368</v>
      </c>
      <c r="AQ20" s="68" t="s">
        <v>368</v>
      </c>
      <c r="AR20" s="68" t="s">
        <v>368</v>
      </c>
      <c r="AS20" s="68" t="s">
        <v>368</v>
      </c>
      <c r="AT20" s="68" t="s">
        <v>368</v>
      </c>
    </row>
    <row r="21" spans="2:46">
      <c r="B21" s="35" t="s">
        <v>17</v>
      </c>
      <c r="C21" s="35" t="s">
        <v>358</v>
      </c>
      <c r="E21" s="38"/>
      <c r="F21" s="38">
        <v>9.0000000000000011E-3</v>
      </c>
      <c r="G21" s="38">
        <v>4.9000000000000002E-2</v>
      </c>
      <c r="I21" s="69" t="s">
        <v>358</v>
      </c>
      <c r="J21" s="37">
        <v>0.6</v>
      </c>
      <c r="K21" s="37">
        <v>0.6</v>
      </c>
      <c r="L21" s="37">
        <v>0.6</v>
      </c>
      <c r="M21" s="37">
        <v>0.6</v>
      </c>
      <c r="N21" s="37">
        <v>0.5</v>
      </c>
      <c r="O21" s="37">
        <v>0.4</v>
      </c>
      <c r="P21" s="37">
        <v>0.6</v>
      </c>
      <c r="Q21" s="37">
        <v>0.6</v>
      </c>
      <c r="R21" s="37">
        <v>0.4</v>
      </c>
      <c r="S21" s="37">
        <v>0.6</v>
      </c>
      <c r="T21" s="37">
        <v>0.7</v>
      </c>
      <c r="U21" s="37">
        <v>0.6</v>
      </c>
      <c r="V21" s="37">
        <v>0.6</v>
      </c>
      <c r="W21" s="37">
        <v>0.6</v>
      </c>
      <c r="X21" s="37">
        <v>0.6</v>
      </c>
      <c r="Y21" s="37">
        <v>1</v>
      </c>
      <c r="Z21" s="37" t="s">
        <v>368</v>
      </c>
      <c r="AA21" s="37" t="s">
        <v>368</v>
      </c>
      <c r="AB21" s="37" t="s">
        <v>368</v>
      </c>
      <c r="AC21" s="37" t="s">
        <v>368</v>
      </c>
      <c r="AD21" s="68" t="s">
        <v>368</v>
      </c>
      <c r="AE21" s="68" t="s">
        <v>368</v>
      </c>
      <c r="AF21" s="68" t="s">
        <v>368</v>
      </c>
      <c r="AG21" s="68" t="s">
        <v>368</v>
      </c>
      <c r="AH21" s="68" t="s">
        <v>368</v>
      </c>
      <c r="AI21" s="68" t="s">
        <v>368</v>
      </c>
      <c r="AJ21" s="68" t="s">
        <v>368</v>
      </c>
      <c r="AK21" s="68" t="s">
        <v>368</v>
      </c>
      <c r="AL21" s="68" t="s">
        <v>368</v>
      </c>
      <c r="AM21" s="68" t="s">
        <v>368</v>
      </c>
      <c r="AN21" s="68" t="s">
        <v>368</v>
      </c>
      <c r="AO21" s="68" t="s">
        <v>368</v>
      </c>
      <c r="AP21" s="68" t="s">
        <v>368</v>
      </c>
      <c r="AQ21" s="68" t="s">
        <v>368</v>
      </c>
      <c r="AR21" s="68" t="s">
        <v>368</v>
      </c>
      <c r="AS21" s="68" t="s">
        <v>368</v>
      </c>
      <c r="AT21" s="68" t="s">
        <v>368</v>
      </c>
    </row>
    <row r="22" spans="2:46">
      <c r="B22" s="35" t="s">
        <v>17</v>
      </c>
      <c r="C22" s="35" t="s">
        <v>301</v>
      </c>
      <c r="E22" s="38"/>
      <c r="F22" s="38">
        <v>4.2000000000000003E-2</v>
      </c>
      <c r="G22" s="38">
        <v>0.122</v>
      </c>
      <c r="I22" s="69" t="s">
        <v>301</v>
      </c>
      <c r="J22" s="37">
        <v>0.9</v>
      </c>
      <c r="K22" s="37">
        <v>0.9</v>
      </c>
      <c r="L22" s="37">
        <v>0.8</v>
      </c>
      <c r="M22" s="37">
        <v>0.9</v>
      </c>
      <c r="N22" s="37">
        <v>0.8</v>
      </c>
      <c r="O22" s="37">
        <v>0.8</v>
      </c>
      <c r="P22" s="37">
        <v>0.8</v>
      </c>
      <c r="Q22" s="37">
        <v>0.8</v>
      </c>
      <c r="R22" s="37">
        <v>0.6</v>
      </c>
      <c r="S22" s="37">
        <v>0.9</v>
      </c>
      <c r="T22" s="37">
        <v>0.9</v>
      </c>
      <c r="U22" s="37">
        <v>0.3</v>
      </c>
      <c r="V22" s="37">
        <v>0</v>
      </c>
      <c r="W22" s="37">
        <v>0.3</v>
      </c>
      <c r="X22" s="37">
        <v>-0.1</v>
      </c>
      <c r="Y22" s="37">
        <v>0.7</v>
      </c>
      <c r="Z22" s="37">
        <v>1</v>
      </c>
      <c r="AA22" s="37" t="s">
        <v>368</v>
      </c>
      <c r="AB22" s="37" t="s">
        <v>368</v>
      </c>
      <c r="AC22" s="37" t="s">
        <v>368</v>
      </c>
      <c r="AD22" s="68" t="s">
        <v>368</v>
      </c>
      <c r="AE22" s="68" t="s">
        <v>368</v>
      </c>
      <c r="AF22" s="68" t="s">
        <v>368</v>
      </c>
      <c r="AG22" s="68" t="s">
        <v>368</v>
      </c>
      <c r="AH22" s="68" t="s">
        <v>368</v>
      </c>
      <c r="AI22" s="68" t="s">
        <v>368</v>
      </c>
      <c r="AJ22" s="68" t="s">
        <v>368</v>
      </c>
      <c r="AK22" s="68" t="s">
        <v>368</v>
      </c>
      <c r="AL22" s="68" t="s">
        <v>368</v>
      </c>
      <c r="AM22" s="68" t="s">
        <v>368</v>
      </c>
      <c r="AN22" s="68" t="s">
        <v>368</v>
      </c>
      <c r="AO22" s="68" t="s">
        <v>368</v>
      </c>
      <c r="AP22" s="68" t="s">
        <v>368</v>
      </c>
      <c r="AQ22" s="68" t="s">
        <v>368</v>
      </c>
      <c r="AR22" s="68" t="s">
        <v>368</v>
      </c>
      <c r="AS22" s="68" t="s">
        <v>368</v>
      </c>
      <c r="AT22" s="68" t="s">
        <v>368</v>
      </c>
    </row>
    <row r="23" spans="2:46">
      <c r="B23" s="35" t="s">
        <v>17</v>
      </c>
      <c r="C23" s="35" t="s">
        <v>225</v>
      </c>
      <c r="E23" s="38"/>
      <c r="F23" s="38">
        <v>6.0000000000000001E-3</v>
      </c>
      <c r="G23" s="38">
        <v>8.0000000000000002E-3</v>
      </c>
      <c r="I23" s="69" t="s">
        <v>225</v>
      </c>
      <c r="J23" s="37">
        <v>0</v>
      </c>
      <c r="K23" s="37">
        <v>0</v>
      </c>
      <c r="L23" s="37">
        <v>0</v>
      </c>
      <c r="M23" s="37">
        <v>0</v>
      </c>
      <c r="N23" s="37">
        <v>-0.1</v>
      </c>
      <c r="O23" s="37">
        <v>-0.1</v>
      </c>
      <c r="P23" s="37">
        <v>0</v>
      </c>
      <c r="Q23" s="37">
        <v>0.1</v>
      </c>
      <c r="R23" s="37">
        <v>-0.1</v>
      </c>
      <c r="S23" s="37">
        <v>0.1</v>
      </c>
      <c r="T23" s="37">
        <v>0</v>
      </c>
      <c r="U23" s="37">
        <v>0.1</v>
      </c>
      <c r="V23" s="37">
        <v>0</v>
      </c>
      <c r="W23" s="37">
        <v>0.1</v>
      </c>
      <c r="X23" s="37">
        <v>0</v>
      </c>
      <c r="Y23" s="37">
        <v>-0.2</v>
      </c>
      <c r="Z23" s="37">
        <v>-0.1</v>
      </c>
      <c r="AA23" s="37">
        <v>1</v>
      </c>
      <c r="AB23" s="37" t="s">
        <v>368</v>
      </c>
      <c r="AC23" s="37" t="s">
        <v>368</v>
      </c>
      <c r="AD23" s="68" t="s">
        <v>368</v>
      </c>
      <c r="AE23" s="68" t="s">
        <v>368</v>
      </c>
      <c r="AF23" s="68" t="s">
        <v>368</v>
      </c>
      <c r="AG23" s="68" t="s">
        <v>368</v>
      </c>
      <c r="AH23" s="68" t="s">
        <v>368</v>
      </c>
      <c r="AI23" s="68" t="s">
        <v>368</v>
      </c>
      <c r="AJ23" s="68" t="s">
        <v>368</v>
      </c>
      <c r="AK23" s="68" t="s">
        <v>368</v>
      </c>
      <c r="AL23" s="68" t="s">
        <v>368</v>
      </c>
      <c r="AM23" s="68" t="s">
        <v>368</v>
      </c>
      <c r="AN23" s="68" t="s">
        <v>368</v>
      </c>
      <c r="AO23" s="68" t="s">
        <v>368</v>
      </c>
      <c r="AP23" s="68" t="s">
        <v>368</v>
      </c>
      <c r="AQ23" s="68" t="s">
        <v>368</v>
      </c>
      <c r="AR23" s="68" t="s">
        <v>368</v>
      </c>
      <c r="AS23" s="68" t="s">
        <v>368</v>
      </c>
      <c r="AT23" s="68" t="s">
        <v>368</v>
      </c>
    </row>
    <row r="24" spans="2:46">
      <c r="B24" s="35" t="s">
        <v>17</v>
      </c>
      <c r="C24" s="35" t="s">
        <v>359</v>
      </c>
      <c r="E24" s="38"/>
      <c r="F24" s="38">
        <v>0</v>
      </c>
      <c r="G24" s="38">
        <v>4.8000000000000001E-2</v>
      </c>
      <c r="I24" s="69" t="s">
        <v>359</v>
      </c>
      <c r="J24" s="37">
        <v>-0.6</v>
      </c>
      <c r="K24" s="37">
        <v>-0.6</v>
      </c>
      <c r="L24" s="37">
        <v>-0.6</v>
      </c>
      <c r="M24" s="37">
        <v>-0.6</v>
      </c>
      <c r="N24" s="37">
        <v>-0.6</v>
      </c>
      <c r="O24" s="37">
        <v>-0.6</v>
      </c>
      <c r="P24" s="37">
        <v>-0.5</v>
      </c>
      <c r="Q24" s="37">
        <v>-0.5</v>
      </c>
      <c r="R24" s="37">
        <v>-0.5</v>
      </c>
      <c r="S24" s="37">
        <v>-0.5</v>
      </c>
      <c r="T24" s="37">
        <v>-0.4</v>
      </c>
      <c r="U24" s="37">
        <v>0.5</v>
      </c>
      <c r="V24" s="37">
        <v>0.8</v>
      </c>
      <c r="W24" s="37">
        <v>0.3</v>
      </c>
      <c r="X24" s="37">
        <v>0.7</v>
      </c>
      <c r="Y24" s="37">
        <v>0.1</v>
      </c>
      <c r="Z24" s="37">
        <v>-0.5</v>
      </c>
      <c r="AA24" s="37">
        <v>0.1</v>
      </c>
      <c r="AB24" s="37">
        <v>1</v>
      </c>
      <c r="AC24" s="37" t="s">
        <v>368</v>
      </c>
      <c r="AD24" s="68" t="s">
        <v>368</v>
      </c>
      <c r="AE24" s="68" t="s">
        <v>368</v>
      </c>
      <c r="AF24" s="68" t="s">
        <v>368</v>
      </c>
      <c r="AG24" s="68" t="s">
        <v>368</v>
      </c>
      <c r="AH24" s="68" t="s">
        <v>368</v>
      </c>
      <c r="AI24" s="68" t="s">
        <v>368</v>
      </c>
      <c r="AJ24" s="68" t="s">
        <v>368</v>
      </c>
      <c r="AK24" s="68" t="s">
        <v>368</v>
      </c>
      <c r="AL24" s="68" t="s">
        <v>368</v>
      </c>
      <c r="AM24" s="68" t="s">
        <v>368</v>
      </c>
      <c r="AN24" s="68" t="s">
        <v>368</v>
      </c>
      <c r="AO24" s="68" t="s">
        <v>368</v>
      </c>
      <c r="AP24" s="68" t="s">
        <v>368</v>
      </c>
      <c r="AQ24" s="68" t="s">
        <v>368</v>
      </c>
      <c r="AR24" s="68" t="s">
        <v>368</v>
      </c>
      <c r="AS24" s="68" t="s">
        <v>368</v>
      </c>
      <c r="AT24" s="68" t="s">
        <v>368</v>
      </c>
    </row>
    <row r="25" spans="2:46">
      <c r="B25" s="35" t="s">
        <v>17</v>
      </c>
      <c r="C25" s="35" t="s">
        <v>360</v>
      </c>
      <c r="E25" s="38"/>
      <c r="F25" s="38">
        <v>5.0000000000000001E-3</v>
      </c>
      <c r="G25" s="38">
        <v>4.8000000000000001E-2</v>
      </c>
      <c r="I25" s="69" t="s">
        <v>360</v>
      </c>
      <c r="J25" s="37">
        <v>0.1</v>
      </c>
      <c r="K25" s="37">
        <v>0.1</v>
      </c>
      <c r="L25" s="37">
        <v>0</v>
      </c>
      <c r="M25" s="37">
        <v>0.1</v>
      </c>
      <c r="N25" s="37">
        <v>0</v>
      </c>
      <c r="O25" s="37">
        <v>-0.1</v>
      </c>
      <c r="P25" s="37">
        <v>0</v>
      </c>
      <c r="Q25" s="37">
        <v>0.2</v>
      </c>
      <c r="R25" s="37">
        <v>-0.1</v>
      </c>
      <c r="S25" s="37">
        <v>0.2</v>
      </c>
      <c r="T25" s="37">
        <v>0.3</v>
      </c>
      <c r="U25" s="37">
        <v>0.5</v>
      </c>
      <c r="V25" s="37">
        <v>0.5</v>
      </c>
      <c r="W25" s="37">
        <v>0.4</v>
      </c>
      <c r="X25" s="37">
        <v>0.4</v>
      </c>
      <c r="Y25" s="37">
        <v>0.4</v>
      </c>
      <c r="Z25" s="37">
        <v>0.3</v>
      </c>
      <c r="AA25" s="37">
        <v>0</v>
      </c>
      <c r="AB25" s="37">
        <v>0.4</v>
      </c>
      <c r="AC25" s="37">
        <v>1</v>
      </c>
      <c r="AD25" s="68" t="s">
        <v>368</v>
      </c>
      <c r="AE25" s="68" t="s">
        <v>368</v>
      </c>
      <c r="AF25" s="68" t="s">
        <v>368</v>
      </c>
      <c r="AG25" s="68" t="s">
        <v>368</v>
      </c>
      <c r="AH25" s="68" t="s">
        <v>368</v>
      </c>
      <c r="AI25" s="68" t="s">
        <v>368</v>
      </c>
      <c r="AJ25" s="68" t="s">
        <v>368</v>
      </c>
      <c r="AK25" s="68" t="s">
        <v>368</v>
      </c>
      <c r="AL25" s="68" t="s">
        <v>368</v>
      </c>
      <c r="AM25" s="68" t="s">
        <v>368</v>
      </c>
      <c r="AN25" s="68" t="s">
        <v>368</v>
      </c>
      <c r="AO25" s="68" t="s">
        <v>368</v>
      </c>
      <c r="AP25" s="68" t="s">
        <v>368</v>
      </c>
      <c r="AQ25" s="68" t="s">
        <v>368</v>
      </c>
      <c r="AR25" s="68" t="s">
        <v>368</v>
      </c>
      <c r="AS25" s="68" t="s">
        <v>368</v>
      </c>
      <c r="AT25" s="68" t="s">
        <v>368</v>
      </c>
    </row>
    <row r="26" spans="2:46">
      <c r="B26" s="35" t="s">
        <v>17</v>
      </c>
      <c r="C26" s="35" t="s">
        <v>361</v>
      </c>
      <c r="E26" s="38"/>
      <c r="F26" s="38">
        <v>9.0000000000000011E-3</v>
      </c>
      <c r="G26" s="38">
        <v>3.3000000000000002E-2</v>
      </c>
      <c r="I26" s="69" t="s">
        <v>361</v>
      </c>
      <c r="J26" s="37">
        <v>0.3</v>
      </c>
      <c r="K26" s="37">
        <v>0.4</v>
      </c>
      <c r="L26" s="37">
        <v>0.3</v>
      </c>
      <c r="M26" s="37">
        <v>0.3</v>
      </c>
      <c r="N26" s="37">
        <v>0.3</v>
      </c>
      <c r="O26" s="37">
        <v>0.2</v>
      </c>
      <c r="P26" s="37">
        <v>0.3</v>
      </c>
      <c r="Q26" s="37">
        <v>0.4</v>
      </c>
      <c r="R26" s="37">
        <v>0</v>
      </c>
      <c r="S26" s="37">
        <v>0.5</v>
      </c>
      <c r="T26" s="37">
        <v>0.5</v>
      </c>
      <c r="U26" s="37">
        <v>0.3</v>
      </c>
      <c r="V26" s="37">
        <v>0.1</v>
      </c>
      <c r="W26" s="37">
        <v>0.3</v>
      </c>
      <c r="X26" s="37">
        <v>0</v>
      </c>
      <c r="Y26" s="37">
        <v>0.3</v>
      </c>
      <c r="Z26" s="37">
        <v>0.5</v>
      </c>
      <c r="AA26" s="37">
        <v>0.2</v>
      </c>
      <c r="AB26" s="37">
        <v>-0.1</v>
      </c>
      <c r="AC26" s="37">
        <v>0.8</v>
      </c>
      <c r="AD26" s="68">
        <v>1</v>
      </c>
      <c r="AE26" s="68" t="s">
        <v>368</v>
      </c>
      <c r="AF26" s="68" t="s">
        <v>368</v>
      </c>
      <c r="AG26" s="68" t="s">
        <v>368</v>
      </c>
      <c r="AH26" s="68" t="s">
        <v>368</v>
      </c>
      <c r="AI26" s="68" t="s">
        <v>368</v>
      </c>
      <c r="AJ26" s="68" t="s">
        <v>368</v>
      </c>
      <c r="AK26" s="68" t="s">
        <v>368</v>
      </c>
      <c r="AL26" s="68" t="s">
        <v>368</v>
      </c>
      <c r="AM26" s="68" t="s">
        <v>368</v>
      </c>
      <c r="AN26" s="68" t="s">
        <v>368</v>
      </c>
      <c r="AO26" s="68" t="s">
        <v>368</v>
      </c>
      <c r="AP26" s="68" t="s">
        <v>368</v>
      </c>
      <c r="AQ26" s="68" t="s">
        <v>368</v>
      </c>
      <c r="AR26" s="68" t="s">
        <v>368</v>
      </c>
      <c r="AS26" s="68" t="s">
        <v>368</v>
      </c>
      <c r="AT26" s="68" t="s">
        <v>368</v>
      </c>
    </row>
    <row r="27" spans="2:46">
      <c r="B27" s="35" t="s">
        <v>17</v>
      </c>
      <c r="C27" s="35" t="s">
        <v>362</v>
      </c>
      <c r="E27" s="38"/>
      <c r="F27" s="38">
        <v>9.0000000000000011E-3</v>
      </c>
      <c r="G27" s="38">
        <v>5.9000000000000004E-2</v>
      </c>
      <c r="I27" s="69" t="s">
        <v>362</v>
      </c>
      <c r="J27" s="37">
        <v>0.5</v>
      </c>
      <c r="K27" s="37">
        <v>0.5</v>
      </c>
      <c r="L27" s="37">
        <v>0.5</v>
      </c>
      <c r="M27" s="37">
        <v>0.5</v>
      </c>
      <c r="N27" s="37">
        <v>0.4</v>
      </c>
      <c r="O27" s="37">
        <v>0.3</v>
      </c>
      <c r="P27" s="37">
        <v>0.5</v>
      </c>
      <c r="Q27" s="37">
        <v>0.5</v>
      </c>
      <c r="R27" s="37">
        <v>0.4</v>
      </c>
      <c r="S27" s="37">
        <v>0.5</v>
      </c>
      <c r="T27" s="37">
        <v>0.6</v>
      </c>
      <c r="U27" s="37">
        <v>0.7</v>
      </c>
      <c r="V27" s="37">
        <v>0.7</v>
      </c>
      <c r="W27" s="37">
        <v>0.6</v>
      </c>
      <c r="X27" s="37">
        <v>0.6</v>
      </c>
      <c r="Y27" s="37">
        <v>1</v>
      </c>
      <c r="Z27" s="37">
        <v>0.6</v>
      </c>
      <c r="AA27" s="37">
        <v>-0.1</v>
      </c>
      <c r="AB27" s="37">
        <v>0.2</v>
      </c>
      <c r="AC27" s="37">
        <v>0.5</v>
      </c>
      <c r="AD27" s="68">
        <v>0.3</v>
      </c>
      <c r="AE27" s="68">
        <v>1</v>
      </c>
      <c r="AF27" s="68" t="s">
        <v>368</v>
      </c>
      <c r="AG27" s="68" t="s">
        <v>368</v>
      </c>
      <c r="AH27" s="68" t="s">
        <v>368</v>
      </c>
      <c r="AI27" s="68" t="s">
        <v>368</v>
      </c>
      <c r="AJ27" s="68" t="s">
        <v>368</v>
      </c>
      <c r="AK27" s="68" t="s">
        <v>368</v>
      </c>
      <c r="AL27" s="68" t="s">
        <v>368</v>
      </c>
      <c r="AM27" s="68" t="s">
        <v>368</v>
      </c>
      <c r="AN27" s="68" t="s">
        <v>368</v>
      </c>
      <c r="AO27" s="68" t="s">
        <v>368</v>
      </c>
      <c r="AP27" s="68" t="s">
        <v>368</v>
      </c>
      <c r="AQ27" s="68" t="s">
        <v>368</v>
      </c>
      <c r="AR27" s="68" t="s">
        <v>368</v>
      </c>
      <c r="AS27" s="68" t="s">
        <v>368</v>
      </c>
      <c r="AT27" s="68" t="s">
        <v>368</v>
      </c>
    </row>
    <row r="28" spans="2:46">
      <c r="B28" s="35" t="s">
        <v>17</v>
      </c>
      <c r="C28" s="35" t="s">
        <v>363</v>
      </c>
      <c r="E28" s="38"/>
      <c r="F28" s="38">
        <v>-3.0000000000000001E-3</v>
      </c>
      <c r="G28" s="38">
        <v>9.4E-2</v>
      </c>
      <c r="I28" s="69" t="s">
        <v>363</v>
      </c>
      <c r="J28" s="37">
        <v>0.3</v>
      </c>
      <c r="K28" s="37">
        <v>0.3</v>
      </c>
      <c r="L28" s="37">
        <v>0.3</v>
      </c>
      <c r="M28" s="37">
        <v>0.3</v>
      </c>
      <c r="N28" s="37">
        <v>0.3</v>
      </c>
      <c r="O28" s="37">
        <v>0.2</v>
      </c>
      <c r="P28" s="37">
        <v>0.3</v>
      </c>
      <c r="Q28" s="37">
        <v>0.3</v>
      </c>
      <c r="R28" s="37">
        <v>0.3</v>
      </c>
      <c r="S28" s="37">
        <v>0.3</v>
      </c>
      <c r="T28" s="37">
        <v>0.4</v>
      </c>
      <c r="U28" s="37">
        <v>0.7</v>
      </c>
      <c r="V28" s="37">
        <v>0.8</v>
      </c>
      <c r="W28" s="37">
        <v>0.6</v>
      </c>
      <c r="X28" s="37">
        <v>0.7</v>
      </c>
      <c r="Y28" s="37">
        <v>0.9</v>
      </c>
      <c r="Z28" s="37">
        <v>0.4</v>
      </c>
      <c r="AA28" s="37">
        <v>-0.2</v>
      </c>
      <c r="AB28" s="37">
        <v>0.4</v>
      </c>
      <c r="AC28" s="37">
        <v>0.5</v>
      </c>
      <c r="AD28" s="68">
        <v>0.1</v>
      </c>
      <c r="AE28" s="68">
        <v>1</v>
      </c>
      <c r="AF28" s="68">
        <v>1</v>
      </c>
      <c r="AG28" s="68" t="s">
        <v>368</v>
      </c>
      <c r="AH28" s="68" t="s">
        <v>368</v>
      </c>
      <c r="AI28" s="68" t="s">
        <v>368</v>
      </c>
      <c r="AJ28" s="68" t="s">
        <v>368</v>
      </c>
      <c r="AK28" s="68" t="s">
        <v>368</v>
      </c>
      <c r="AL28" s="68" t="s">
        <v>368</v>
      </c>
      <c r="AM28" s="68" t="s">
        <v>368</v>
      </c>
      <c r="AN28" s="68" t="s">
        <v>368</v>
      </c>
      <c r="AO28" s="68" t="s">
        <v>368</v>
      </c>
      <c r="AP28" s="68" t="s">
        <v>368</v>
      </c>
      <c r="AQ28" s="68" t="s">
        <v>368</v>
      </c>
      <c r="AR28" s="68" t="s">
        <v>368</v>
      </c>
      <c r="AS28" s="68" t="s">
        <v>368</v>
      </c>
      <c r="AT28" s="68" t="s">
        <v>368</v>
      </c>
    </row>
    <row r="29" spans="2:46">
      <c r="B29" s="35" t="s">
        <v>17</v>
      </c>
      <c r="C29" s="35" t="s">
        <v>364</v>
      </c>
      <c r="E29" s="38"/>
      <c r="F29" s="38">
        <v>-1.8000000000000002E-2</v>
      </c>
      <c r="G29" s="38">
        <v>0.13100000000000001</v>
      </c>
      <c r="I29" s="69" t="s">
        <v>364</v>
      </c>
      <c r="J29" s="37">
        <v>-0.6</v>
      </c>
      <c r="K29" s="37">
        <v>-0.6</v>
      </c>
      <c r="L29" s="37">
        <v>-0.6</v>
      </c>
      <c r="M29" s="37">
        <v>-0.6</v>
      </c>
      <c r="N29" s="37">
        <v>-0.6</v>
      </c>
      <c r="O29" s="37">
        <v>-0.6</v>
      </c>
      <c r="P29" s="37">
        <v>-0.5</v>
      </c>
      <c r="Q29" s="37">
        <v>-0.5</v>
      </c>
      <c r="R29" s="37">
        <v>-0.5</v>
      </c>
      <c r="S29" s="37">
        <v>-0.5</v>
      </c>
      <c r="T29" s="37">
        <v>-0.4</v>
      </c>
      <c r="U29" s="37">
        <v>0.4</v>
      </c>
      <c r="V29" s="37">
        <v>0.7</v>
      </c>
      <c r="W29" s="37">
        <v>0.2</v>
      </c>
      <c r="X29" s="37">
        <v>0.7</v>
      </c>
      <c r="Y29" s="37">
        <v>0.1</v>
      </c>
      <c r="Z29" s="37">
        <v>-0.5</v>
      </c>
      <c r="AA29" s="37">
        <v>0</v>
      </c>
      <c r="AB29" s="37">
        <v>0.9</v>
      </c>
      <c r="AC29" s="37">
        <v>0.4</v>
      </c>
      <c r="AD29" s="68">
        <v>-0.2</v>
      </c>
      <c r="AE29" s="68">
        <v>0.3</v>
      </c>
      <c r="AF29" s="68">
        <v>0.5</v>
      </c>
      <c r="AG29" s="68">
        <v>1</v>
      </c>
      <c r="AH29" s="68" t="s">
        <v>368</v>
      </c>
      <c r="AI29" s="68" t="s">
        <v>368</v>
      </c>
      <c r="AJ29" s="68" t="s">
        <v>368</v>
      </c>
      <c r="AK29" s="68" t="s">
        <v>368</v>
      </c>
      <c r="AL29" s="68" t="s">
        <v>368</v>
      </c>
      <c r="AM29" s="68" t="s">
        <v>368</v>
      </c>
      <c r="AN29" s="68" t="s">
        <v>368</v>
      </c>
      <c r="AO29" s="68" t="s">
        <v>368</v>
      </c>
      <c r="AP29" s="68" t="s">
        <v>368</v>
      </c>
      <c r="AQ29" s="68" t="s">
        <v>368</v>
      </c>
      <c r="AR29" s="68" t="s">
        <v>368</v>
      </c>
      <c r="AS29" s="68" t="s">
        <v>368</v>
      </c>
      <c r="AT29" s="68" t="s">
        <v>368</v>
      </c>
    </row>
    <row r="30" spans="2:46">
      <c r="B30" s="35" t="s">
        <v>17</v>
      </c>
      <c r="C30" s="35" t="s">
        <v>121</v>
      </c>
      <c r="E30" s="38"/>
      <c r="F30" s="38">
        <v>1.1000000000000001E-2</v>
      </c>
      <c r="G30" s="38">
        <v>3.2000000000000001E-2</v>
      </c>
      <c r="I30" s="69" t="s">
        <v>121</v>
      </c>
      <c r="J30" s="37">
        <v>-0.2</v>
      </c>
      <c r="K30" s="37">
        <v>-0.1</v>
      </c>
      <c r="L30" s="37">
        <v>-0.2</v>
      </c>
      <c r="M30" s="37">
        <v>-0.1</v>
      </c>
      <c r="N30" s="37">
        <v>-0.2</v>
      </c>
      <c r="O30" s="37">
        <v>-0.3</v>
      </c>
      <c r="P30" s="37">
        <v>-0.1</v>
      </c>
      <c r="Q30" s="37">
        <v>0</v>
      </c>
      <c r="R30" s="37">
        <v>-0.2</v>
      </c>
      <c r="S30" s="37">
        <v>-0.1</v>
      </c>
      <c r="T30" s="37">
        <v>0</v>
      </c>
      <c r="U30" s="37">
        <v>0.7</v>
      </c>
      <c r="V30" s="37">
        <v>0.9</v>
      </c>
      <c r="W30" s="37">
        <v>0.5</v>
      </c>
      <c r="X30" s="37">
        <v>0.8</v>
      </c>
      <c r="Y30" s="37">
        <v>0.6</v>
      </c>
      <c r="Z30" s="37">
        <v>0</v>
      </c>
      <c r="AA30" s="37">
        <v>0.1</v>
      </c>
      <c r="AB30" s="37">
        <v>0.8</v>
      </c>
      <c r="AC30" s="37">
        <v>0.6</v>
      </c>
      <c r="AD30" s="68">
        <v>0.2</v>
      </c>
      <c r="AE30" s="68">
        <v>0.7</v>
      </c>
      <c r="AF30" s="68">
        <v>0.8</v>
      </c>
      <c r="AG30" s="68">
        <v>0.8</v>
      </c>
      <c r="AH30" s="68">
        <v>1</v>
      </c>
      <c r="AI30" s="68" t="s">
        <v>368</v>
      </c>
      <c r="AJ30" s="68" t="s">
        <v>368</v>
      </c>
      <c r="AK30" s="68" t="s">
        <v>368</v>
      </c>
      <c r="AL30" s="68" t="s">
        <v>368</v>
      </c>
      <c r="AM30" s="68" t="s">
        <v>368</v>
      </c>
      <c r="AN30" s="68" t="s">
        <v>368</v>
      </c>
      <c r="AO30" s="68" t="s">
        <v>368</v>
      </c>
      <c r="AP30" s="68" t="s">
        <v>368</v>
      </c>
      <c r="AQ30" s="68" t="s">
        <v>368</v>
      </c>
      <c r="AR30" s="68" t="s">
        <v>368</v>
      </c>
      <c r="AS30" s="68" t="s">
        <v>368</v>
      </c>
      <c r="AT30" s="68" t="s">
        <v>368</v>
      </c>
    </row>
    <row r="31" spans="2:46">
      <c r="B31" s="35" t="s">
        <v>17</v>
      </c>
      <c r="C31" s="35" t="s">
        <v>19</v>
      </c>
      <c r="E31" s="38"/>
      <c r="F31" s="38">
        <v>4.0999999999999995E-2</v>
      </c>
      <c r="G31" s="38">
        <v>0.111</v>
      </c>
      <c r="I31" s="69" t="s">
        <v>19</v>
      </c>
      <c r="J31" s="37">
        <v>0.8</v>
      </c>
      <c r="K31" s="37">
        <v>0.8</v>
      </c>
      <c r="L31" s="37">
        <v>0.8</v>
      </c>
      <c r="M31" s="37">
        <v>0.8</v>
      </c>
      <c r="N31" s="37">
        <v>0.8</v>
      </c>
      <c r="O31" s="37">
        <v>0.8</v>
      </c>
      <c r="P31" s="37">
        <v>0.8</v>
      </c>
      <c r="Q31" s="37">
        <v>0.8</v>
      </c>
      <c r="R31" s="37">
        <v>0.6</v>
      </c>
      <c r="S31" s="37">
        <v>0.8</v>
      </c>
      <c r="T31" s="37">
        <v>0.9</v>
      </c>
      <c r="U31" s="37">
        <v>0.2</v>
      </c>
      <c r="V31" s="37">
        <v>0</v>
      </c>
      <c r="W31" s="37">
        <v>0.2</v>
      </c>
      <c r="X31" s="37">
        <v>-0.1</v>
      </c>
      <c r="Y31" s="37">
        <v>0.7</v>
      </c>
      <c r="Z31" s="37">
        <v>1</v>
      </c>
      <c r="AA31" s="37">
        <v>-0.1</v>
      </c>
      <c r="AB31" s="37">
        <v>-0.5</v>
      </c>
      <c r="AC31" s="37">
        <v>0.3</v>
      </c>
      <c r="AD31" s="68">
        <v>0.5</v>
      </c>
      <c r="AE31" s="68">
        <v>0.6</v>
      </c>
      <c r="AF31" s="68">
        <v>0.4</v>
      </c>
      <c r="AG31" s="68">
        <v>-0.5</v>
      </c>
      <c r="AH31" s="68">
        <v>0</v>
      </c>
      <c r="AI31" s="68">
        <v>1</v>
      </c>
      <c r="AJ31" s="68" t="s">
        <v>368</v>
      </c>
      <c r="AK31" s="68" t="s">
        <v>368</v>
      </c>
      <c r="AL31" s="68" t="s">
        <v>368</v>
      </c>
      <c r="AM31" s="68" t="s">
        <v>368</v>
      </c>
      <c r="AN31" s="68" t="s">
        <v>368</v>
      </c>
      <c r="AO31" s="68" t="s">
        <v>368</v>
      </c>
      <c r="AP31" s="68" t="s">
        <v>368</v>
      </c>
      <c r="AQ31" s="68" t="s">
        <v>368</v>
      </c>
      <c r="AR31" s="68" t="s">
        <v>368</v>
      </c>
      <c r="AS31" s="68" t="s">
        <v>368</v>
      </c>
      <c r="AT31" s="68" t="s">
        <v>368</v>
      </c>
    </row>
    <row r="32" spans="2:46">
      <c r="B32" s="35" t="s">
        <v>17</v>
      </c>
      <c r="C32" s="35" t="s">
        <v>365</v>
      </c>
      <c r="E32" s="38"/>
      <c r="F32" s="38">
        <v>3.6000000000000004E-2</v>
      </c>
      <c r="G32" s="38">
        <v>0.107</v>
      </c>
      <c r="I32" s="69" t="s">
        <v>365</v>
      </c>
      <c r="J32" s="37">
        <v>0.8</v>
      </c>
      <c r="K32" s="37">
        <v>0.7</v>
      </c>
      <c r="L32" s="37">
        <v>0.7</v>
      </c>
      <c r="M32" s="37">
        <v>0.7</v>
      </c>
      <c r="N32" s="37">
        <v>0.7</v>
      </c>
      <c r="O32" s="37">
        <v>0.7</v>
      </c>
      <c r="P32" s="37">
        <v>0.7</v>
      </c>
      <c r="Q32" s="37">
        <v>0.7</v>
      </c>
      <c r="R32" s="37">
        <v>0.5</v>
      </c>
      <c r="S32" s="37">
        <v>0.8</v>
      </c>
      <c r="T32" s="37">
        <v>0.8</v>
      </c>
      <c r="U32" s="37">
        <v>0</v>
      </c>
      <c r="V32" s="37">
        <v>-0.2</v>
      </c>
      <c r="W32" s="37">
        <v>0.1</v>
      </c>
      <c r="X32" s="37">
        <v>-0.2</v>
      </c>
      <c r="Y32" s="37">
        <v>0.5</v>
      </c>
      <c r="Z32" s="37">
        <v>0.9</v>
      </c>
      <c r="AA32" s="37">
        <v>-0.1</v>
      </c>
      <c r="AB32" s="37">
        <v>-0.7</v>
      </c>
      <c r="AC32" s="37">
        <v>0.2</v>
      </c>
      <c r="AD32" s="68">
        <v>0.6</v>
      </c>
      <c r="AE32" s="68">
        <v>0.4</v>
      </c>
      <c r="AF32" s="68">
        <v>0.2</v>
      </c>
      <c r="AG32" s="68">
        <v>-0.6</v>
      </c>
      <c r="AH32" s="68">
        <v>-0.2</v>
      </c>
      <c r="AI32" s="68">
        <v>0.9</v>
      </c>
      <c r="AJ32" s="68">
        <v>1</v>
      </c>
      <c r="AK32" s="68" t="s">
        <v>368</v>
      </c>
      <c r="AL32" s="68" t="s">
        <v>368</v>
      </c>
      <c r="AM32" s="68" t="s">
        <v>368</v>
      </c>
      <c r="AN32" s="68" t="s">
        <v>368</v>
      </c>
      <c r="AO32" s="68" t="s">
        <v>368</v>
      </c>
      <c r="AP32" s="68" t="s">
        <v>368</v>
      </c>
      <c r="AQ32" s="68" t="s">
        <v>368</v>
      </c>
      <c r="AR32" s="68" t="s">
        <v>368</v>
      </c>
      <c r="AS32" s="68" t="s">
        <v>368</v>
      </c>
      <c r="AT32" s="68" t="s">
        <v>368</v>
      </c>
    </row>
    <row r="33" spans="2:46">
      <c r="B33" s="35" t="s">
        <v>17</v>
      </c>
      <c r="C33" s="35" t="s">
        <v>229</v>
      </c>
      <c r="E33" s="38"/>
      <c r="F33" s="38">
        <v>1.2E-2</v>
      </c>
      <c r="G33" s="38">
        <v>2.4E-2</v>
      </c>
      <c r="I33" s="69" t="s">
        <v>229</v>
      </c>
      <c r="J33" s="37">
        <v>-0.2</v>
      </c>
      <c r="K33" s="37">
        <v>-0.1</v>
      </c>
      <c r="L33" s="37">
        <v>-0.2</v>
      </c>
      <c r="M33" s="37">
        <v>-0.2</v>
      </c>
      <c r="N33" s="37">
        <v>-0.2</v>
      </c>
      <c r="O33" s="37">
        <v>-0.3</v>
      </c>
      <c r="P33" s="37">
        <v>-0.2</v>
      </c>
      <c r="Q33" s="37">
        <v>0</v>
      </c>
      <c r="R33" s="37">
        <v>-0.3</v>
      </c>
      <c r="S33" s="37">
        <v>-0.1</v>
      </c>
      <c r="T33" s="37">
        <v>0</v>
      </c>
      <c r="U33" s="37">
        <v>0.6</v>
      </c>
      <c r="V33" s="37">
        <v>0.8</v>
      </c>
      <c r="W33" s="37">
        <v>0.4</v>
      </c>
      <c r="X33" s="37">
        <v>0.7</v>
      </c>
      <c r="Y33" s="37">
        <v>0.5</v>
      </c>
      <c r="Z33" s="37">
        <v>0</v>
      </c>
      <c r="AA33" s="37">
        <v>0.1</v>
      </c>
      <c r="AB33" s="37">
        <v>0.7</v>
      </c>
      <c r="AC33" s="37">
        <v>0.7</v>
      </c>
      <c r="AD33" s="68">
        <v>0.3</v>
      </c>
      <c r="AE33" s="68">
        <v>0.5</v>
      </c>
      <c r="AF33" s="68">
        <v>0.6</v>
      </c>
      <c r="AG33" s="68">
        <v>0.7</v>
      </c>
      <c r="AH33" s="68">
        <v>0.9</v>
      </c>
      <c r="AI33" s="68">
        <v>0</v>
      </c>
      <c r="AJ33" s="68">
        <v>-0.1</v>
      </c>
      <c r="AK33" s="68">
        <v>1</v>
      </c>
      <c r="AL33" s="68" t="s">
        <v>368</v>
      </c>
      <c r="AM33" s="68" t="s">
        <v>368</v>
      </c>
      <c r="AN33" s="68" t="s">
        <v>368</v>
      </c>
      <c r="AO33" s="68" t="s">
        <v>368</v>
      </c>
      <c r="AP33" s="68" t="s">
        <v>368</v>
      </c>
      <c r="AQ33" s="68" t="s">
        <v>368</v>
      </c>
      <c r="AR33" s="68" t="s">
        <v>368</v>
      </c>
      <c r="AS33" s="68" t="s">
        <v>368</v>
      </c>
      <c r="AT33" s="68" t="s">
        <v>368</v>
      </c>
    </row>
    <row r="34" spans="2:46">
      <c r="B34" s="35" t="s">
        <v>17</v>
      </c>
      <c r="C34" s="35" t="s">
        <v>366</v>
      </c>
      <c r="E34" s="38"/>
      <c r="F34" s="38">
        <v>5.4000000000000006E-2</v>
      </c>
      <c r="G34" s="38">
        <v>0.11599999999999999</v>
      </c>
      <c r="I34" s="69" t="s">
        <v>366</v>
      </c>
      <c r="J34" s="37">
        <v>0.7</v>
      </c>
      <c r="K34" s="37">
        <v>0.8</v>
      </c>
      <c r="L34" s="37">
        <v>0.7</v>
      </c>
      <c r="M34" s="37">
        <v>0.7</v>
      </c>
      <c r="N34" s="37">
        <v>0.6</v>
      </c>
      <c r="O34" s="37">
        <v>0.6</v>
      </c>
      <c r="P34" s="37">
        <v>0.7</v>
      </c>
      <c r="Q34" s="37">
        <v>0.8</v>
      </c>
      <c r="R34" s="37">
        <v>0.5</v>
      </c>
      <c r="S34" s="37">
        <v>0.8</v>
      </c>
      <c r="T34" s="37">
        <v>0.8</v>
      </c>
      <c r="U34" s="37">
        <v>0.6</v>
      </c>
      <c r="V34" s="37">
        <v>0.2</v>
      </c>
      <c r="W34" s="37">
        <v>0.6</v>
      </c>
      <c r="X34" s="37">
        <v>0.2</v>
      </c>
      <c r="Y34" s="37">
        <v>0.6</v>
      </c>
      <c r="Z34" s="37">
        <v>0.7</v>
      </c>
      <c r="AA34" s="37">
        <v>0.1</v>
      </c>
      <c r="AB34" s="37">
        <v>-0.2</v>
      </c>
      <c r="AC34" s="37">
        <v>0.3</v>
      </c>
      <c r="AD34" s="68">
        <v>0.4</v>
      </c>
      <c r="AE34" s="68">
        <v>0.6</v>
      </c>
      <c r="AF34" s="68">
        <v>0.5</v>
      </c>
      <c r="AG34" s="68">
        <v>-0.3</v>
      </c>
      <c r="AH34" s="68">
        <v>0.2</v>
      </c>
      <c r="AI34" s="68">
        <v>0.7</v>
      </c>
      <c r="AJ34" s="68">
        <v>0.5</v>
      </c>
      <c r="AK34" s="68">
        <v>0.2</v>
      </c>
      <c r="AL34" s="68">
        <v>1</v>
      </c>
      <c r="AM34" s="68" t="s">
        <v>368</v>
      </c>
      <c r="AN34" s="68" t="s">
        <v>368</v>
      </c>
      <c r="AO34" s="68" t="s">
        <v>368</v>
      </c>
      <c r="AP34" s="68" t="s">
        <v>368</v>
      </c>
      <c r="AQ34" s="68" t="s">
        <v>368</v>
      </c>
      <c r="AR34" s="68" t="s">
        <v>368</v>
      </c>
      <c r="AS34" s="68" t="s">
        <v>368</v>
      </c>
      <c r="AT34" s="68" t="s">
        <v>368</v>
      </c>
    </row>
    <row r="35" spans="2:46">
      <c r="B35" s="35" t="s">
        <v>17</v>
      </c>
      <c r="C35" s="35" t="s">
        <v>129</v>
      </c>
      <c r="E35" s="38"/>
      <c r="F35" s="38">
        <v>5.0999999999999997E-2</v>
      </c>
      <c r="G35" s="38">
        <v>8.5000000000000006E-2</v>
      </c>
      <c r="I35" s="69" t="s">
        <v>129</v>
      </c>
      <c r="J35" s="37">
        <v>0.7</v>
      </c>
      <c r="K35" s="37">
        <v>0.7</v>
      </c>
      <c r="L35" s="37">
        <v>0.7</v>
      </c>
      <c r="M35" s="37">
        <v>0.7</v>
      </c>
      <c r="N35" s="37">
        <v>0.7</v>
      </c>
      <c r="O35" s="37">
        <v>0.6</v>
      </c>
      <c r="P35" s="37">
        <v>0.7</v>
      </c>
      <c r="Q35" s="37">
        <v>0.7</v>
      </c>
      <c r="R35" s="37">
        <v>0.5</v>
      </c>
      <c r="S35" s="37">
        <v>0.8</v>
      </c>
      <c r="T35" s="37">
        <v>0.8</v>
      </c>
      <c r="U35" s="37">
        <v>0.5</v>
      </c>
      <c r="V35" s="37">
        <v>0.3</v>
      </c>
      <c r="W35" s="37">
        <v>0.5</v>
      </c>
      <c r="X35" s="37">
        <v>0.3</v>
      </c>
      <c r="Y35" s="37">
        <v>0.8</v>
      </c>
      <c r="Z35" s="37">
        <v>0.8</v>
      </c>
      <c r="AA35" s="37">
        <v>-0.1</v>
      </c>
      <c r="AB35" s="37">
        <v>-0.2</v>
      </c>
      <c r="AC35" s="37">
        <v>0.5</v>
      </c>
      <c r="AD35" s="68">
        <v>0.5</v>
      </c>
      <c r="AE35" s="68">
        <v>0.8</v>
      </c>
      <c r="AF35" s="68">
        <v>0.6</v>
      </c>
      <c r="AG35" s="68">
        <v>-0.2</v>
      </c>
      <c r="AH35" s="68">
        <v>0.3</v>
      </c>
      <c r="AI35" s="68">
        <v>0.8</v>
      </c>
      <c r="AJ35" s="68">
        <v>0.7</v>
      </c>
      <c r="AK35" s="68">
        <v>0.3</v>
      </c>
      <c r="AL35" s="68">
        <v>0.8</v>
      </c>
      <c r="AM35" s="68">
        <v>1</v>
      </c>
      <c r="AN35" s="68" t="s">
        <v>368</v>
      </c>
      <c r="AO35" s="68" t="s">
        <v>368</v>
      </c>
      <c r="AP35" s="68" t="s">
        <v>368</v>
      </c>
      <c r="AQ35" s="68" t="s">
        <v>368</v>
      </c>
      <c r="AR35" s="68" t="s">
        <v>368</v>
      </c>
      <c r="AS35" s="68" t="s">
        <v>368</v>
      </c>
      <c r="AT35" s="68" t="s">
        <v>368</v>
      </c>
    </row>
    <row r="36" spans="2:46">
      <c r="B36" s="35" t="s">
        <v>17</v>
      </c>
      <c r="C36" s="35" t="s">
        <v>367</v>
      </c>
      <c r="E36" s="38"/>
      <c r="F36" s="38">
        <v>3.5000000000000003E-2</v>
      </c>
      <c r="G36" s="38">
        <v>8.5999999999999993E-2</v>
      </c>
      <c r="I36" s="69" t="s">
        <v>367</v>
      </c>
      <c r="J36" s="37">
        <v>0.8</v>
      </c>
      <c r="K36" s="37">
        <v>0.8</v>
      </c>
      <c r="L36" s="37">
        <v>0.7</v>
      </c>
      <c r="M36" s="37">
        <v>0.7</v>
      </c>
      <c r="N36" s="37">
        <v>0.7</v>
      </c>
      <c r="O36" s="37">
        <v>0.6</v>
      </c>
      <c r="P36" s="37">
        <v>0.7</v>
      </c>
      <c r="Q36" s="37">
        <v>0.8</v>
      </c>
      <c r="R36" s="37">
        <v>0.5</v>
      </c>
      <c r="S36" s="37">
        <v>0.8</v>
      </c>
      <c r="T36" s="37">
        <v>0.8</v>
      </c>
      <c r="U36" s="37">
        <v>0.4</v>
      </c>
      <c r="V36" s="37">
        <v>0.2</v>
      </c>
      <c r="W36" s="37">
        <v>0.4</v>
      </c>
      <c r="X36" s="37">
        <v>0.2</v>
      </c>
      <c r="Y36" s="37">
        <v>0.8</v>
      </c>
      <c r="Z36" s="37">
        <v>0.9</v>
      </c>
      <c r="AA36" s="37">
        <v>-0.1</v>
      </c>
      <c r="AB36" s="37">
        <v>-0.3</v>
      </c>
      <c r="AC36" s="37">
        <v>0.5</v>
      </c>
      <c r="AD36" s="68">
        <v>0.6</v>
      </c>
      <c r="AE36" s="68">
        <v>0.7</v>
      </c>
      <c r="AF36" s="68">
        <v>0.6</v>
      </c>
      <c r="AG36" s="68">
        <v>-0.3</v>
      </c>
      <c r="AH36" s="68">
        <v>0.2</v>
      </c>
      <c r="AI36" s="68">
        <v>0.9</v>
      </c>
      <c r="AJ36" s="68">
        <v>0.8</v>
      </c>
      <c r="AK36" s="68">
        <v>0.2</v>
      </c>
      <c r="AL36" s="68">
        <v>0.7</v>
      </c>
      <c r="AM36" s="68">
        <v>0.9</v>
      </c>
      <c r="AN36" s="68">
        <v>1</v>
      </c>
      <c r="AO36" s="68" t="s">
        <v>368</v>
      </c>
      <c r="AP36" s="68" t="s">
        <v>368</v>
      </c>
      <c r="AQ36" s="68" t="s">
        <v>368</v>
      </c>
      <c r="AR36" s="68" t="s">
        <v>368</v>
      </c>
      <c r="AS36" s="68" t="s">
        <v>368</v>
      </c>
      <c r="AT36" s="68" t="s">
        <v>368</v>
      </c>
    </row>
    <row r="37" spans="2:46">
      <c r="B37" s="35" t="s">
        <v>21</v>
      </c>
      <c r="C37" s="35" t="s">
        <v>270</v>
      </c>
      <c r="E37" s="38"/>
      <c r="F37" s="38">
        <v>2.3E-2</v>
      </c>
      <c r="G37" s="38">
        <v>0.191</v>
      </c>
      <c r="I37" s="69" t="s">
        <v>270</v>
      </c>
      <c r="J37" s="37">
        <v>0.7</v>
      </c>
      <c r="K37" s="37">
        <v>0.7</v>
      </c>
      <c r="L37" s="37">
        <v>0.6</v>
      </c>
      <c r="M37" s="37">
        <v>0.7</v>
      </c>
      <c r="N37" s="37">
        <v>0.6</v>
      </c>
      <c r="O37" s="37">
        <v>0.6</v>
      </c>
      <c r="P37" s="37">
        <v>0.6</v>
      </c>
      <c r="Q37" s="37">
        <v>0.6</v>
      </c>
      <c r="R37" s="37">
        <v>0.5</v>
      </c>
      <c r="S37" s="37">
        <v>0.7</v>
      </c>
      <c r="T37" s="37">
        <v>0.8</v>
      </c>
      <c r="U37" s="37">
        <v>0.2</v>
      </c>
      <c r="V37" s="37">
        <v>-0.2</v>
      </c>
      <c r="W37" s="37">
        <v>0.3</v>
      </c>
      <c r="X37" s="37">
        <v>-0.3</v>
      </c>
      <c r="Y37" s="37">
        <v>0.3</v>
      </c>
      <c r="Z37" s="37">
        <v>0.7</v>
      </c>
      <c r="AA37" s="37">
        <v>0.1</v>
      </c>
      <c r="AB37" s="37">
        <v>-0.5</v>
      </c>
      <c r="AC37" s="37">
        <v>0.3</v>
      </c>
      <c r="AD37" s="68">
        <v>0.6</v>
      </c>
      <c r="AE37" s="68">
        <v>0.3</v>
      </c>
      <c r="AF37" s="68">
        <v>0.1</v>
      </c>
      <c r="AG37" s="68">
        <v>-0.5</v>
      </c>
      <c r="AH37" s="68">
        <v>-0.2</v>
      </c>
      <c r="AI37" s="68">
        <v>0.7</v>
      </c>
      <c r="AJ37" s="68">
        <v>0.6</v>
      </c>
      <c r="AK37" s="68">
        <v>-0.2</v>
      </c>
      <c r="AL37" s="68">
        <v>0.5</v>
      </c>
      <c r="AM37" s="68">
        <v>0.5</v>
      </c>
      <c r="AN37" s="68">
        <v>0.6</v>
      </c>
      <c r="AO37" s="68">
        <v>1</v>
      </c>
      <c r="AP37" s="68" t="s">
        <v>368</v>
      </c>
      <c r="AQ37" s="68" t="s">
        <v>368</v>
      </c>
      <c r="AR37" s="68" t="s">
        <v>368</v>
      </c>
      <c r="AS37" s="68" t="s">
        <v>368</v>
      </c>
      <c r="AT37" s="68" t="s">
        <v>368</v>
      </c>
    </row>
    <row r="38" spans="2:46">
      <c r="B38" s="35" t="s">
        <v>21</v>
      </c>
      <c r="C38" s="35" t="s">
        <v>271</v>
      </c>
      <c r="E38" s="38"/>
      <c r="F38" s="38">
        <v>-4.4999999999999998E-2</v>
      </c>
      <c r="G38" s="38">
        <v>0.14099999999999999</v>
      </c>
      <c r="I38" s="69" t="s">
        <v>271</v>
      </c>
      <c r="J38" s="37">
        <v>0.1</v>
      </c>
      <c r="K38" s="37">
        <v>0.2</v>
      </c>
      <c r="L38" s="37">
        <v>0</v>
      </c>
      <c r="M38" s="37">
        <v>0.1</v>
      </c>
      <c r="N38" s="37">
        <v>0</v>
      </c>
      <c r="O38" s="37">
        <v>-0.1</v>
      </c>
      <c r="P38" s="37">
        <v>0.1</v>
      </c>
      <c r="Q38" s="37">
        <v>0.2</v>
      </c>
      <c r="R38" s="37">
        <v>0</v>
      </c>
      <c r="S38" s="37">
        <v>0.3</v>
      </c>
      <c r="T38" s="37">
        <v>0.3</v>
      </c>
      <c r="U38" s="37">
        <v>0.6</v>
      </c>
      <c r="V38" s="37">
        <v>0.4</v>
      </c>
      <c r="W38" s="37">
        <v>0.5</v>
      </c>
      <c r="X38" s="37">
        <v>0.3</v>
      </c>
      <c r="Y38" s="37">
        <v>0.3</v>
      </c>
      <c r="Z38" s="37">
        <v>0.2</v>
      </c>
      <c r="AA38" s="37">
        <v>0.2</v>
      </c>
      <c r="AB38" s="37">
        <v>0.3</v>
      </c>
      <c r="AC38" s="37">
        <v>0.6</v>
      </c>
      <c r="AD38" s="68">
        <v>0.5</v>
      </c>
      <c r="AE38" s="68">
        <v>0.4</v>
      </c>
      <c r="AF38" s="68">
        <v>0.3</v>
      </c>
      <c r="AG38" s="68">
        <v>0.3</v>
      </c>
      <c r="AH38" s="68">
        <v>0.5</v>
      </c>
      <c r="AI38" s="68">
        <v>0.1</v>
      </c>
      <c r="AJ38" s="68">
        <v>0.1</v>
      </c>
      <c r="AK38" s="68">
        <v>0.5</v>
      </c>
      <c r="AL38" s="68">
        <v>0.4</v>
      </c>
      <c r="AM38" s="68">
        <v>0.4</v>
      </c>
      <c r="AN38" s="68">
        <v>0.3</v>
      </c>
      <c r="AO38" s="68">
        <v>0.4</v>
      </c>
      <c r="AP38" s="68">
        <v>1</v>
      </c>
      <c r="AQ38" s="68" t="s">
        <v>368</v>
      </c>
      <c r="AR38" s="68" t="s">
        <v>368</v>
      </c>
      <c r="AS38" s="68" t="s">
        <v>368</v>
      </c>
      <c r="AT38" s="68" t="s">
        <v>368</v>
      </c>
    </row>
    <row r="39" spans="2:46">
      <c r="B39" s="35" t="s">
        <v>21</v>
      </c>
      <c r="C39" s="35" t="s">
        <v>208</v>
      </c>
      <c r="E39" s="38"/>
      <c r="F39" s="38">
        <v>4.5999999999999999E-2</v>
      </c>
      <c r="G39" s="38">
        <v>0.22699999999999998</v>
      </c>
      <c r="I39" s="69" t="s">
        <v>208</v>
      </c>
      <c r="J39" s="37">
        <v>0.7</v>
      </c>
      <c r="K39" s="37">
        <v>0.7</v>
      </c>
      <c r="L39" s="37">
        <v>0.7</v>
      </c>
      <c r="M39" s="37">
        <v>0.7</v>
      </c>
      <c r="N39" s="37">
        <v>0.8</v>
      </c>
      <c r="O39" s="37">
        <v>0.8</v>
      </c>
      <c r="P39" s="37">
        <v>0.7</v>
      </c>
      <c r="Q39" s="37">
        <v>0.6</v>
      </c>
      <c r="R39" s="37">
        <v>0.5</v>
      </c>
      <c r="S39" s="37">
        <v>0.6</v>
      </c>
      <c r="T39" s="37">
        <v>0.8</v>
      </c>
      <c r="U39" s="37">
        <v>0.2</v>
      </c>
      <c r="V39" s="37">
        <v>0.1</v>
      </c>
      <c r="W39" s="37">
        <v>0.2</v>
      </c>
      <c r="X39" s="37">
        <v>0.1</v>
      </c>
      <c r="Y39" s="37">
        <v>0.6</v>
      </c>
      <c r="Z39" s="37">
        <v>0.7</v>
      </c>
      <c r="AA39" s="37">
        <v>-0.1</v>
      </c>
      <c r="AB39" s="37">
        <v>-0.3</v>
      </c>
      <c r="AC39" s="37">
        <v>0.1</v>
      </c>
      <c r="AD39" s="68">
        <v>0.2</v>
      </c>
      <c r="AE39" s="68">
        <v>0.4</v>
      </c>
      <c r="AF39" s="68">
        <v>0.4</v>
      </c>
      <c r="AG39" s="68">
        <v>-0.3</v>
      </c>
      <c r="AH39" s="68">
        <v>0</v>
      </c>
      <c r="AI39" s="68">
        <v>0.7</v>
      </c>
      <c r="AJ39" s="68">
        <v>0.6</v>
      </c>
      <c r="AK39" s="68">
        <v>0</v>
      </c>
      <c r="AL39" s="68">
        <v>0.5</v>
      </c>
      <c r="AM39" s="68">
        <v>0.6</v>
      </c>
      <c r="AN39" s="68">
        <v>0.6</v>
      </c>
      <c r="AO39" s="68">
        <v>0.4</v>
      </c>
      <c r="AP39" s="68">
        <v>0.1</v>
      </c>
      <c r="AQ39" s="68">
        <v>1</v>
      </c>
      <c r="AR39" s="68" t="s">
        <v>368</v>
      </c>
      <c r="AS39" s="68" t="s">
        <v>368</v>
      </c>
      <c r="AT39" s="68" t="s">
        <v>368</v>
      </c>
    </row>
    <row r="40" spans="2:46">
      <c r="B40" s="35" t="s">
        <v>21</v>
      </c>
      <c r="C40" s="35" t="s">
        <v>139</v>
      </c>
      <c r="E40" s="38"/>
      <c r="F40" s="38">
        <v>2.6000000000000002E-2</v>
      </c>
      <c r="G40" s="38">
        <v>0.09</v>
      </c>
      <c r="I40" s="69" t="s">
        <v>139</v>
      </c>
      <c r="J40" s="37">
        <v>0.9</v>
      </c>
      <c r="K40" s="37">
        <v>0.8</v>
      </c>
      <c r="L40" s="37">
        <v>0.8</v>
      </c>
      <c r="M40" s="37">
        <v>0.8</v>
      </c>
      <c r="N40" s="37">
        <v>0.8</v>
      </c>
      <c r="O40" s="37">
        <v>0.8</v>
      </c>
      <c r="P40" s="37">
        <v>0.8</v>
      </c>
      <c r="Q40" s="37">
        <v>0.8</v>
      </c>
      <c r="R40" s="37">
        <v>0.7</v>
      </c>
      <c r="S40" s="37">
        <v>0.8</v>
      </c>
      <c r="T40" s="37">
        <v>0.8</v>
      </c>
      <c r="U40" s="37">
        <v>0</v>
      </c>
      <c r="V40" s="37">
        <v>-0.2</v>
      </c>
      <c r="W40" s="37">
        <v>0.1</v>
      </c>
      <c r="X40" s="37">
        <v>-0.2</v>
      </c>
      <c r="Y40" s="37">
        <v>0.5</v>
      </c>
      <c r="Z40" s="37">
        <v>0.8</v>
      </c>
      <c r="AA40" s="37">
        <v>0</v>
      </c>
      <c r="AB40" s="37">
        <v>-0.6</v>
      </c>
      <c r="AC40" s="37">
        <v>0.2</v>
      </c>
      <c r="AD40" s="68">
        <v>0.5</v>
      </c>
      <c r="AE40" s="68">
        <v>0.4</v>
      </c>
      <c r="AF40" s="68">
        <v>0.2</v>
      </c>
      <c r="AG40" s="68">
        <v>-0.6</v>
      </c>
      <c r="AH40" s="68">
        <v>-0.2</v>
      </c>
      <c r="AI40" s="68">
        <v>0.8</v>
      </c>
      <c r="AJ40" s="68">
        <v>0.8</v>
      </c>
      <c r="AK40" s="68">
        <v>-0.2</v>
      </c>
      <c r="AL40" s="68">
        <v>0.5</v>
      </c>
      <c r="AM40" s="68">
        <v>0.7</v>
      </c>
      <c r="AN40" s="68">
        <v>0.7</v>
      </c>
      <c r="AO40" s="68">
        <v>0.7</v>
      </c>
      <c r="AP40" s="68">
        <v>0.1</v>
      </c>
      <c r="AQ40" s="68">
        <v>0.5</v>
      </c>
      <c r="AR40" s="68">
        <v>1</v>
      </c>
      <c r="AS40" s="68" t="s">
        <v>368</v>
      </c>
      <c r="AT40" s="68" t="s">
        <v>368</v>
      </c>
    </row>
    <row r="41" spans="2:46">
      <c r="B41" s="35" t="s">
        <v>21</v>
      </c>
      <c r="C41" s="35" t="s">
        <v>135</v>
      </c>
      <c r="E41" s="38"/>
      <c r="F41" s="38">
        <v>3.7999999999999999E-2</v>
      </c>
      <c r="G41" s="38">
        <v>0.12</v>
      </c>
      <c r="I41" s="69" t="s">
        <v>135</v>
      </c>
      <c r="J41" s="37">
        <v>0.4</v>
      </c>
      <c r="K41" s="37">
        <v>0.3</v>
      </c>
      <c r="L41" s="37">
        <v>0.4</v>
      </c>
      <c r="M41" s="37">
        <v>0.3</v>
      </c>
      <c r="N41" s="37">
        <v>0.4</v>
      </c>
      <c r="O41" s="37">
        <v>0.3</v>
      </c>
      <c r="P41" s="37">
        <v>0.3</v>
      </c>
      <c r="Q41" s="37">
        <v>0.3</v>
      </c>
      <c r="R41" s="37">
        <v>0.2</v>
      </c>
      <c r="S41" s="37">
        <v>0.3</v>
      </c>
      <c r="T41" s="37">
        <v>0.4</v>
      </c>
      <c r="U41" s="37">
        <v>-0.2</v>
      </c>
      <c r="V41" s="37">
        <v>-0.3</v>
      </c>
      <c r="W41" s="37">
        <v>-0.2</v>
      </c>
      <c r="X41" s="37">
        <v>-0.3</v>
      </c>
      <c r="Y41" s="37">
        <v>0</v>
      </c>
      <c r="Z41" s="37">
        <v>0.4</v>
      </c>
      <c r="AA41" s="37">
        <v>0</v>
      </c>
      <c r="AB41" s="37">
        <v>-0.3</v>
      </c>
      <c r="AC41" s="37">
        <v>0.1</v>
      </c>
      <c r="AD41" s="68">
        <v>0.3</v>
      </c>
      <c r="AE41" s="68">
        <v>0</v>
      </c>
      <c r="AF41" s="68">
        <v>-0.1</v>
      </c>
      <c r="AG41" s="68">
        <v>-0.3</v>
      </c>
      <c r="AH41" s="68">
        <v>-0.2</v>
      </c>
      <c r="AI41" s="68">
        <v>0.4</v>
      </c>
      <c r="AJ41" s="68">
        <v>0.5</v>
      </c>
      <c r="AK41" s="68">
        <v>-0.1</v>
      </c>
      <c r="AL41" s="68">
        <v>0.1</v>
      </c>
      <c r="AM41" s="68">
        <v>0.2</v>
      </c>
      <c r="AN41" s="68">
        <v>0.2</v>
      </c>
      <c r="AO41" s="68">
        <v>0.3</v>
      </c>
      <c r="AP41" s="68">
        <v>0</v>
      </c>
      <c r="AQ41" s="68">
        <v>0.5</v>
      </c>
      <c r="AR41" s="68">
        <v>0.4</v>
      </c>
      <c r="AS41" s="68">
        <v>1</v>
      </c>
      <c r="AT41" s="68" t="s">
        <v>368</v>
      </c>
    </row>
    <row r="42" spans="2:46">
      <c r="B42" s="35" t="s">
        <v>21</v>
      </c>
      <c r="C42" s="35" t="s">
        <v>22</v>
      </c>
      <c r="E42" s="38"/>
      <c r="F42" s="38">
        <v>6.2E-2</v>
      </c>
      <c r="G42" s="38">
        <v>0.25</v>
      </c>
      <c r="I42" s="69" t="s">
        <v>22</v>
      </c>
      <c r="J42" s="37">
        <v>0.9</v>
      </c>
      <c r="K42" s="37">
        <v>0.9</v>
      </c>
      <c r="L42" s="37">
        <v>0.8</v>
      </c>
      <c r="M42" s="37">
        <v>0.8</v>
      </c>
      <c r="N42" s="37">
        <v>0.8</v>
      </c>
      <c r="O42" s="37">
        <v>0.8</v>
      </c>
      <c r="P42" s="37">
        <v>0.8</v>
      </c>
      <c r="Q42" s="37">
        <v>0.8</v>
      </c>
      <c r="R42" s="37">
        <v>0.6</v>
      </c>
      <c r="S42" s="37">
        <v>0.8</v>
      </c>
      <c r="T42" s="37">
        <v>0.8</v>
      </c>
      <c r="U42" s="37">
        <v>0.1</v>
      </c>
      <c r="V42" s="37">
        <v>-0.3</v>
      </c>
      <c r="W42" s="37">
        <v>0.2</v>
      </c>
      <c r="X42" s="37">
        <v>-0.3</v>
      </c>
      <c r="Y42" s="37">
        <v>0.4</v>
      </c>
      <c r="Z42" s="37">
        <v>0.8</v>
      </c>
      <c r="AA42" s="37">
        <v>0.1</v>
      </c>
      <c r="AB42" s="37">
        <v>-0.6</v>
      </c>
      <c r="AC42" s="37">
        <v>0.1</v>
      </c>
      <c r="AD42" s="68">
        <v>0.4</v>
      </c>
      <c r="AE42" s="68">
        <v>0.3</v>
      </c>
      <c r="AF42" s="68">
        <v>0.1</v>
      </c>
      <c r="AG42" s="68">
        <v>-0.6</v>
      </c>
      <c r="AH42" s="68">
        <v>-0.2</v>
      </c>
      <c r="AI42" s="68">
        <v>0.7</v>
      </c>
      <c r="AJ42" s="68">
        <v>0.7</v>
      </c>
      <c r="AK42" s="68">
        <v>-0.2</v>
      </c>
      <c r="AL42" s="68">
        <v>0.6</v>
      </c>
      <c r="AM42" s="68">
        <v>0.6</v>
      </c>
      <c r="AN42" s="68">
        <v>0.6</v>
      </c>
      <c r="AO42" s="68">
        <v>0.7</v>
      </c>
      <c r="AP42" s="68">
        <v>0.1</v>
      </c>
      <c r="AQ42" s="68">
        <v>0.6</v>
      </c>
      <c r="AR42" s="68">
        <v>0.8</v>
      </c>
      <c r="AS42" s="68">
        <v>0.5</v>
      </c>
      <c r="AT42" s="68">
        <v>1</v>
      </c>
    </row>
  </sheetData>
  <mergeCells count="1">
    <mergeCell ref="B2:AT3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BAFB4-9F65-4B1C-85F4-AE58E35C0369}">
  <sheetPr codeName="Sheet11"/>
  <dimension ref="B1:F11"/>
  <sheetViews>
    <sheetView showGridLines="0" workbookViewId="0">
      <selection activeCell="E31" sqref="E31"/>
    </sheetView>
  </sheetViews>
  <sheetFormatPr baseColWidth="10" defaultColWidth="8.83203125" defaultRowHeight="15"/>
  <cols>
    <col min="2" max="2" width="13.83203125" bestFit="1" customWidth="1"/>
    <col min="3" max="3" width="11.6640625" bestFit="1" customWidth="1"/>
    <col min="4" max="4" width="12.6640625" bestFit="1" customWidth="1"/>
    <col min="5" max="5" width="7.6640625" bestFit="1" customWidth="1"/>
    <col min="6" max="6" width="11.6640625" bestFit="1" customWidth="1"/>
  </cols>
  <sheetData>
    <row r="1" spans="2:6">
      <c r="B1" s="2" t="s">
        <v>369</v>
      </c>
      <c r="C1" s="3" t="s">
        <v>370</v>
      </c>
      <c r="D1" s="3" t="s">
        <v>371</v>
      </c>
      <c r="E1" s="3" t="s">
        <v>372</v>
      </c>
      <c r="F1" s="4" t="s">
        <v>373</v>
      </c>
    </row>
    <row r="2" spans="2:6">
      <c r="B2" s="5" t="s">
        <v>374</v>
      </c>
      <c r="C2" s="6" t="s">
        <v>375</v>
      </c>
      <c r="D2" s="6" t="s">
        <v>376</v>
      </c>
      <c r="E2" s="6" t="s">
        <v>375</v>
      </c>
      <c r="F2" s="7" t="s">
        <v>377</v>
      </c>
    </row>
    <row r="3" spans="2:6">
      <c r="B3" s="5" t="s">
        <v>378</v>
      </c>
      <c r="C3" s="6" t="s">
        <v>379</v>
      </c>
      <c r="D3" s="6" t="s">
        <v>380</v>
      </c>
      <c r="E3" s="6" t="s">
        <v>379</v>
      </c>
      <c r="F3" s="7" t="s">
        <v>377</v>
      </c>
    </row>
    <row r="4" spans="2:6">
      <c r="B4" s="5" t="s">
        <v>381</v>
      </c>
      <c r="C4" s="6" t="s">
        <v>379</v>
      </c>
      <c r="D4" s="6">
        <v>10</v>
      </c>
      <c r="E4" s="6" t="s">
        <v>382</v>
      </c>
      <c r="F4" s="7" t="s">
        <v>377</v>
      </c>
    </row>
    <row r="5" spans="2:6">
      <c r="B5" s="5" t="s">
        <v>59</v>
      </c>
      <c r="C5" s="6" t="s">
        <v>379</v>
      </c>
      <c r="D5" s="6" t="s">
        <v>380</v>
      </c>
      <c r="E5" s="6" t="s">
        <v>382</v>
      </c>
      <c r="F5" s="7" t="s">
        <v>377</v>
      </c>
    </row>
    <row r="6" spans="2:6">
      <c r="B6" s="5" t="s">
        <v>383</v>
      </c>
      <c r="C6" s="6" t="s">
        <v>379</v>
      </c>
      <c r="D6" s="6">
        <v>10</v>
      </c>
      <c r="E6" s="6" t="s">
        <v>382</v>
      </c>
      <c r="F6" s="7" t="s">
        <v>377</v>
      </c>
    </row>
    <row r="7" spans="2:6">
      <c r="B7" s="5" t="s">
        <v>384</v>
      </c>
      <c r="C7" s="6" t="s">
        <v>379</v>
      </c>
      <c r="D7" s="6" t="s">
        <v>380</v>
      </c>
      <c r="E7" s="6" t="s">
        <v>379</v>
      </c>
      <c r="F7" s="7" t="s">
        <v>377</v>
      </c>
    </row>
    <row r="8" spans="2:6">
      <c r="B8" s="8" t="s">
        <v>385</v>
      </c>
      <c r="C8" s="9" t="s">
        <v>379</v>
      </c>
      <c r="D8" s="9">
        <v>5</v>
      </c>
      <c r="E8" s="9" t="s">
        <v>382</v>
      </c>
      <c r="F8" s="10" t="s">
        <v>377</v>
      </c>
    </row>
    <row r="11" spans="2:6">
      <c r="B11" s="11" t="s">
        <v>386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37429BA54649429025857A78ACE639" ma:contentTypeVersion="10" ma:contentTypeDescription="Create a new document." ma:contentTypeScope="" ma:versionID="db87c3d22b075ee7da61c81c12865239">
  <xsd:schema xmlns:xsd="http://www.w3.org/2001/XMLSchema" xmlns:xs="http://www.w3.org/2001/XMLSchema" xmlns:p="http://schemas.microsoft.com/office/2006/metadata/properties" xmlns:ns2="4472a61b-6ea4-44d4-ba14-53678a3261d0" xmlns:ns3="26261a99-92d1-488a-92f1-66f0163d38fa" targetNamespace="http://schemas.microsoft.com/office/2006/metadata/properties" ma:root="true" ma:fieldsID="6dd6c60289a8720d995c05cd9b79cfb3" ns2:_="" ns3:_="">
    <xsd:import namespace="4472a61b-6ea4-44d4-ba14-53678a3261d0"/>
    <xsd:import namespace="26261a99-92d1-488a-92f1-66f0163d38f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72a61b-6ea4-44d4-ba14-53678a3261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261a99-92d1-488a-92f1-66f0163d38fa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CA5D5B-98B6-4FF1-BBAE-051BEC6462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72a61b-6ea4-44d4-ba14-53678a3261d0"/>
    <ds:schemaRef ds:uri="26261a99-92d1-488a-92f1-66f0163d38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9CFE43-61E1-4D92-B87E-05F126A49DB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5F4CAFAC-43F3-428F-8293-8F2D195B35F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9D09F2D-666B-478F-B855-E4A9B893E620}">
  <ds:schemaRefs>
    <ds:schemaRef ds:uri="http://purl.org/dc/dcmitype/"/>
    <ds:schemaRef ds:uri="http://www.w3.org/XML/1998/namespace"/>
    <ds:schemaRef ds:uri="26261a99-92d1-488a-92f1-66f0163d38fa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4472a61b-6ea4-44d4-ba14-53678a3261d0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Master Summary</vt:lpstr>
      <vt:lpstr>ChartData</vt:lpstr>
      <vt:lpstr>CMA Summary</vt:lpstr>
      <vt:lpstr>Sheet1</vt:lpstr>
      <vt:lpstr>SelectedAssetClass.Data</vt:lpstr>
      <vt:lpstr>Cliffwater.RawData</vt:lpstr>
      <vt:lpstr>Envestnet.RawData</vt:lpstr>
      <vt:lpstr>JPMorgan.RawData</vt:lpstr>
      <vt:lpstr>Northern Trust.RawData</vt:lpstr>
      <vt:lpstr>T. Rowe.RawData</vt:lpstr>
      <vt:lpstr>CMA Features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2022-04-21T12:09:03Z</dcterms:created>
  <dcterms:modified xsi:type="dcterms:W3CDTF">2023-07-27T01:08:28Z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0x010100C837429BA54649429025857A78ACE639</vt:lpwstr>
  </property>
</Properties>
</file>